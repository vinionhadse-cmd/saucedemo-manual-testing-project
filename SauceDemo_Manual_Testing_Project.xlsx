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cuments\VINIT\"/>
    </mc:Choice>
  </mc:AlternateContent>
  <bookViews>
    <workbookView xWindow="0" yWindow="0" windowWidth="20490" windowHeight="7650" firstSheet="12" activeTab="15"/>
  </bookViews>
  <sheets>
    <sheet name="00_Assignment_Checklist" sheetId="1" r:id="rId1"/>
    <sheet name="01_Test_Plan" sheetId="2" r:id="rId2"/>
    <sheet name="02_Requirements" sheetId="3" r:id="rId3"/>
    <sheet name="03_Test_Scenarios" sheetId="4" r:id="rId4"/>
    <sheet name="04_Test_Data" sheetId="5" r:id="rId5"/>
    <sheet name="05_Test_Cases" sheetId="6" r:id="rId6"/>
    <sheet name="06_Test_Execution" sheetId="7" r:id="rId7"/>
    <sheet name="07_Defect_Report" sheetId="8" r:id="rId8"/>
    <sheet name="08_Execution_Report" sheetId="9" r:id="rId9"/>
    <sheet name="09_RTM" sheetId="10" r:id="rId10"/>
    <sheet name="10_Jira_Evidence" sheetId="11" r:id="rId11"/>
    <sheet name="11_GitHub_Structure" sheetId="12" r:id="rId12"/>
    <sheet name="12_README_Template" sheetId="13" r:id="rId13"/>
    <sheet name="13_Git_Commits" sheetId="14" r:id="rId14"/>
    <sheet name="14_File_Naming" sheetId="15" r:id="rId15"/>
    <sheet name="15_Submission" sheetId="16" r:id="rId16"/>
  </sheets>
  <definedNames>
    <definedName name="_xlnm._FilterDatabase" localSheetId="0" hidden="1">'00_Assignment_Checklist'!$A$3:$E$18</definedName>
    <definedName name="_xlnm._FilterDatabase" localSheetId="1" hidden="1">'01_Test_Plan'!$A$3:$B$24</definedName>
    <definedName name="_xlnm._FilterDatabase" localSheetId="2" hidden="1">'02_Requirements'!$A$3:$C$27</definedName>
    <definedName name="_xlnm._FilterDatabase" localSheetId="3" hidden="1">'03_Test_Scenarios'!$A$3:$F$27</definedName>
    <definedName name="_xlnm._FilterDatabase" localSheetId="4" hidden="1">'04_Test_Data'!$A$3:$E$22</definedName>
    <definedName name="_xlnm._FilterDatabase" localSheetId="5" hidden="1">'05_Test_Cases'!$A$2:$O$59</definedName>
    <definedName name="_xlnm._FilterDatabase" localSheetId="6" hidden="1">'06_Test_Execution'!$A$3:$J$59</definedName>
    <definedName name="_xlnm._FilterDatabase" localSheetId="7" hidden="1">'07_Defect_Report'!$A$3:$O$17</definedName>
    <definedName name="_xlnm._FilterDatabase" localSheetId="8" hidden="1">'08_Execution_Report'!$A$25:$G$32</definedName>
    <definedName name="_xlnm._FilterDatabase" localSheetId="9" hidden="1">'09_RTM'!$A$4:$H$28</definedName>
    <definedName name="_xlnm._FilterDatabase" localSheetId="10" hidden="1">'10_Jira_Evidence'!$A$4:$E$10</definedName>
    <definedName name="_xlnm._FilterDatabase" localSheetId="11" hidden="1">'11_GitHub_Structure'!$A$4:$D$14</definedName>
    <definedName name="_xlnm._FilterDatabase" localSheetId="12" hidden="1">'12_README_Template'!$A$4:$B$15</definedName>
    <definedName name="_xlnm._FilterDatabase" localSheetId="13" hidden="1">'13_Git_Commits'!$A$4:$D$13</definedName>
    <definedName name="_xlnm._FilterDatabase" localSheetId="14" hidden="1">'14_File_Naming'!$A$4:$C$10</definedName>
    <definedName name="_xlnm._FilterDatabase" localSheetId="15" hidden="1">'15_Submission'!$A$4:$B$13</definedName>
    <definedName name="_xlnm.Print_Titles" localSheetId="0">'00_Assignment_Checklist'!$1:$2</definedName>
    <definedName name="_xlnm.Print_Titles" localSheetId="1">'01_Test_Plan'!$1:$2</definedName>
    <definedName name="_xlnm.Print_Titles" localSheetId="2">'02_Requirements'!$1:$2</definedName>
    <definedName name="_xlnm.Print_Titles" localSheetId="3">'03_Test_Scenarios'!$1:$2</definedName>
    <definedName name="_xlnm.Print_Titles" localSheetId="4">'04_Test_Data'!$1:$2</definedName>
    <definedName name="_xlnm.Print_Titles" localSheetId="5">'05_Test_Cases'!$1:$2</definedName>
    <definedName name="_xlnm.Print_Titles" localSheetId="6">'06_Test_Execution'!$1:$2</definedName>
    <definedName name="_xlnm.Print_Titles" localSheetId="7">'07_Defect_Report'!$1:$2</definedName>
    <definedName name="_xlnm.Print_Titles" localSheetId="8">'08_Execution_Report'!$1:$3</definedName>
    <definedName name="_xlnm.Print_Titles" localSheetId="9">'09_RTM'!$1:$3</definedName>
    <definedName name="_xlnm.Print_Titles" localSheetId="10">'10_Jira_Evidence'!$1:$3</definedName>
    <definedName name="_xlnm.Print_Titles" localSheetId="11">'11_GitHub_Structure'!$1:$3</definedName>
    <definedName name="_xlnm.Print_Titles" localSheetId="12">'12_README_Template'!$1:$3</definedName>
    <definedName name="_xlnm.Print_Titles" localSheetId="13">'13_Git_Commits'!$1:$3</definedName>
    <definedName name="_xlnm.Print_Titles" localSheetId="14">'14_File_Naming'!$1:$3</definedName>
    <definedName name="_xlnm.Print_Titles" localSheetId="15">'15_Submission'!$1:$3</definedName>
  </definedNames>
  <calcPr calcId="162913" forceFullCalc="1"/>
</workbook>
</file>

<file path=xl/calcChain.xml><?xml version="1.0" encoding="utf-8"?>
<calcChain xmlns="http://schemas.openxmlformats.org/spreadsheetml/2006/main">
  <c r="F32" i="9" l="1"/>
  <c r="E32" i="9"/>
  <c r="D32" i="9"/>
  <c r="C32" i="9"/>
  <c r="B32" i="9"/>
  <c r="F31" i="9"/>
  <c r="E31" i="9"/>
  <c r="D31" i="9"/>
  <c r="C31" i="9"/>
  <c r="B31" i="9"/>
  <c r="F30" i="9"/>
  <c r="E30" i="9"/>
  <c r="D30" i="9"/>
  <c r="C30" i="9"/>
  <c r="B30" i="9"/>
  <c r="F29" i="9"/>
  <c r="E29" i="9"/>
  <c r="D29" i="9"/>
  <c r="C29" i="9"/>
  <c r="B29" i="9"/>
  <c r="F28" i="9"/>
  <c r="E28" i="9"/>
  <c r="D28" i="9"/>
  <c r="C28" i="9"/>
  <c r="B28" i="9"/>
  <c r="F27" i="9"/>
  <c r="E27" i="9"/>
  <c r="D27" i="9"/>
  <c r="C27" i="9"/>
  <c r="B27" i="9"/>
  <c r="F26" i="9"/>
  <c r="E26" i="9"/>
  <c r="D26" i="9"/>
  <c r="C26" i="9"/>
  <c r="B26" i="9"/>
  <c r="F25" i="9"/>
  <c r="E25" i="9"/>
  <c r="D25" i="9"/>
  <c r="C25" i="9"/>
  <c r="G32" i="9" s="1"/>
  <c r="B25" i="9"/>
  <c r="C20" i="9"/>
  <c r="C19" i="9"/>
  <c r="C18" i="9"/>
  <c r="C17" i="9"/>
  <c r="C16" i="9"/>
  <c r="C14" i="9"/>
  <c r="C13" i="9"/>
  <c r="C12" i="9"/>
  <c r="C11" i="9"/>
  <c r="C10" i="9"/>
  <c r="C15" i="9" s="1"/>
  <c r="G25" i="9" l="1"/>
  <c r="G27" i="9"/>
  <c r="G29" i="9"/>
  <c r="G31" i="9"/>
  <c r="G26" i="9"/>
  <c r="G28" i="9"/>
  <c r="G30" i="9"/>
</calcChain>
</file>

<file path=xl/sharedStrings.xml><?xml version="1.0" encoding="utf-8"?>
<sst xmlns="http://schemas.openxmlformats.org/spreadsheetml/2006/main" count="1957" uniqueCount="825">
  <si>
    <t>SauceDemo Manual Testing Project - Assignment Checklist</t>
  </si>
  <si>
    <t>No.</t>
  </si>
  <si>
    <t>Mandatory Deliverable / Point</t>
  </si>
  <si>
    <t>What Must Be Included</t>
  </si>
  <si>
    <t>Status</t>
  </si>
  <si>
    <t>Notes</t>
  </si>
  <si>
    <t>Test Plan</t>
  </si>
  <si>
    <t>Version/date, overview, objectives, scope, approach/types, environment/browsers, test data, roles, entry/exit criteria, risks, deliverables, schedule, sign-off.</t>
  </si>
  <si>
    <t>Not Started</t>
  </si>
  <si>
    <t>Test Scenarios</t>
  </si>
  <si>
    <t>At least 15 meaningful scenarios; this workbook provides 25.</t>
  </si>
  <si>
    <t>Detailed Test Cases</t>
  </si>
  <si>
    <t>At least 40 detailed executable cases; this workbook provides 50.</t>
  </si>
  <si>
    <t>Positive / Negative / Boundary</t>
  </si>
  <si>
    <t>Coverage must include positive, negative and edge/boundary tests.</t>
  </si>
  <si>
    <t>End-to-End Flow</t>
  </si>
  <si>
    <t>Login -&gt; select product(s) -&gt; cart -&gt; checkout -&gt; overview -&gt; finish order.</t>
  </si>
  <si>
    <t>Test Data</t>
  </si>
  <si>
    <t>Valid, invalid, blank, boundary data for login, checkout and product selection.</t>
  </si>
  <si>
    <t>Test Execution</t>
  </si>
  <si>
    <t>Execute all final cases unless genuinely blocked; record Actual Result, Status, execution date and defect reference.</t>
  </si>
  <si>
    <t>Defect Report / Jira</t>
  </si>
  <si>
    <t>Log every genuine defect with reproducible details and readable evidence.</t>
  </si>
  <si>
    <t>Execution Report</t>
  </si>
  <si>
    <t>Execution information, summary, pass %, module summary, defect summary, failed/blocked tests, risks, conclusion.</t>
  </si>
  <si>
    <t>RTM</t>
  </si>
  <si>
    <t>Requirement -&gt; scenario -&gt; test case -&gt; execution -&gt; defect -&gt; coverage -&gt; remarks.</t>
  </si>
  <si>
    <t>Jira Evidence</t>
  </si>
  <si>
    <t>Jira tracking/defect evidence, useful filter/view, screenshots/exports.</t>
  </si>
  <si>
    <t>GitHub Repository</t>
  </si>
  <si>
    <t>README and folders 01-Test-Plan through 09-Test-Evidence.</t>
  </si>
  <si>
    <t>Meaningful Git Commits</t>
  </si>
  <si>
    <t>Use meaningful commits throughout; not one final bulk commit.</t>
  </si>
  <si>
    <t>Security</t>
  </si>
  <si>
    <t>No passwords, tokens, private keys, personal/confidential data in GitHub.</t>
  </si>
  <si>
    <t>Submission</t>
  </si>
  <si>
    <t>GitHub repository link submitted in Google Classroom by 5 September 2026.</t>
  </si>
  <si>
    <t>Mock / Review</t>
  </si>
  <si>
    <t>Complete project, Jira records and GitHub ready; report at 3:30 PM on 6 September 2026.</t>
  </si>
  <si>
    <t>SauceDemo Test Plan</t>
  </si>
  <si>
    <t>Section</t>
  </si>
  <si>
    <t>Content</t>
  </si>
  <si>
    <t>Document Version</t>
  </si>
  <si>
    <t>1.0</t>
  </si>
  <si>
    <t>Document Date</t>
  </si>
  <si>
    <t>4 September 2026</t>
  </si>
  <si>
    <t>Project</t>
  </si>
  <si>
    <t>SauceDemo / Swag Labs - End-to-End Manual QA Project</t>
  </si>
  <si>
    <t>Application URL</t>
  </si>
  <si>
    <t>https://www.saucedemo.com/</t>
  </si>
  <si>
    <t>Project Type</t>
  </si>
  <si>
    <t>Manual Functional Testing Project</t>
  </si>
  <si>
    <t>Objective</t>
  </si>
  <si>
    <t>Plan, design, execute and document manual functional testing for the in-scope SauceDemo modules and demonstrate standard QA practices.</t>
  </si>
  <si>
    <t>Test Objectives</t>
  </si>
  <si>
    <t>Validate authentication, inventory/product behavior, cart, checkout, order completion, menu/navigation and basic UI/usability observations.</t>
  </si>
  <si>
    <t>In Scope</t>
  </si>
  <si>
    <t>Login/authentication; Products/Inventory; Shopping Cart; Checkout - Customer Information; Checkout - Overview; Order Completion; Menu/Navigation; UI/Usability.</t>
  </si>
  <si>
    <t>Out of Scope</t>
  </si>
  <si>
    <t>Anything not listed in the assignment scope; no unsupported requirements should be invented.</t>
  </si>
  <si>
    <t>Test Approach</t>
  </si>
  <si>
    <t>Requirement-based manual functional testing using positive, negative, boundary/edge and usability scenarios, followed by traceability and defect management.</t>
  </si>
  <si>
    <t>Test Types</t>
  </si>
  <si>
    <t>Functional, positive, negative, boundary/edge, usability, navigation/session behavior, end-to-end workflow.</t>
  </si>
  <si>
    <t>Test Environment</t>
  </si>
  <si>
    <t>SauceDemo web application in a supported desktop web browser. Record the actual browser/version used during execution.</t>
  </si>
  <si>
    <t>Browsers</t>
  </si>
  <si>
    <t>Record actual browser(s) used. Recommended execution coverage can be Chrome/Edge/Firefox if available; do not mark untested browsers as executed.</t>
  </si>
  <si>
    <t>Test Data Approach</t>
  </si>
  <si>
    <t>Maintain reusable valid, invalid, blank and boundary data for login and checkout, plus single/multiple product combinations.</t>
  </si>
  <si>
    <t>Roles &amp; Responsibilities</t>
  </si>
  <si>
    <t>Tester: prepare plan/data, design scenarios/cases, execute tests, record results, raise genuine defects, maintain RTM and evidence. Trainer/reviewer: review project and demonstration.</t>
  </si>
  <si>
    <t>Entry Criteria</t>
  </si>
  <si>
    <t>Scope understood; test cases and test data prepared; SauceDemo accessible; test environment/browser ready; Jira project available for defect tracking.</t>
  </si>
  <si>
    <t>Exit Criteria</t>
  </si>
  <si>
    <t>All final cases executed unless genuinely blocked; results recorded; genuine defects logged and referenced; execution report, RTM, Jira evidence and GitHub artifacts completed.</t>
  </si>
  <si>
    <t>Risks</t>
  </si>
  <si>
    <t>Application availability, environment/browser differences, defects discovered late, insufficient evidence, incomplete Jira/GitHub setup, blocked test cases.</t>
  </si>
  <si>
    <t>Mitigation</t>
  </si>
  <si>
    <t>Record environment details, retest genuine failures, capture readable evidence, maintain traceability, use meaningful Git commits, and document blockers/limitations.</t>
  </si>
  <si>
    <t>Deliverables</t>
  </si>
  <si>
    <t>Test Plan, Test Scenarios, Test Cases, Test Data, Test Execution, Defect Report, Execution Report, RTM, Jira Evidence, GitHub Repository.</t>
  </si>
  <si>
    <t>Schedule / Milestones</t>
  </si>
  <si>
    <t>Complete artifacts and execution by 5 September 2026; project mock/review on 6 September 2026 at 3:30 PM.</t>
  </si>
  <si>
    <t>Approval / Sign-off</t>
  </si>
  <si>
    <t>Tester: ____________________    Trainer/Reviewer: ____________________    Date: ____________________</t>
  </si>
  <si>
    <t>Feature / Requirement Catalogue</t>
  </si>
  <si>
    <t>Requirement ID</t>
  </si>
  <si>
    <t>Module</t>
  </si>
  <si>
    <t>Requirement Description</t>
  </si>
  <si>
    <t>FR_LOGIN_01</t>
  </si>
  <si>
    <t>Login</t>
  </si>
  <si>
    <t>Valid user can log in successfully.</t>
  </si>
  <si>
    <t>FR_LOGIN_02</t>
  </si>
  <si>
    <t>Invalid credentials produce appropriate error handling.</t>
  </si>
  <si>
    <t>FR_LOGIN_03</t>
  </si>
  <si>
    <t>Locked user is prevented from logging in.</t>
  </si>
  <si>
    <t>FR_LOGIN_04</t>
  </si>
  <si>
    <t>Blank username/password fields are validated.</t>
  </si>
  <si>
    <t>FR_LOGIN_05</t>
  </si>
  <si>
    <t>Logout and session behavior work correctly.</t>
  </si>
  <si>
    <t>FR_INV_01</t>
  </si>
  <si>
    <t>Inventory</t>
  </si>
  <si>
    <t>Product listing is displayed.</t>
  </si>
  <si>
    <t>FR_INV_02</t>
  </si>
  <si>
    <t>Product information, price and image are displayed.</t>
  </si>
  <si>
    <t>FR_INV_03</t>
  </si>
  <si>
    <t>Product sorting works correctly.</t>
  </si>
  <si>
    <t>FR_INV_04</t>
  </si>
  <si>
    <t>Product-detail navigation works.</t>
  </si>
  <si>
    <t>FR_CART_01</t>
  </si>
  <si>
    <t>Cart</t>
  </si>
  <si>
    <t>User can add a product to cart.</t>
  </si>
  <si>
    <t>FR_CART_02</t>
  </si>
  <si>
    <t>User can remove a product from cart.</t>
  </si>
  <si>
    <t>FR_CART_03</t>
  </si>
  <si>
    <t>Cart badge/count reflects selected items.</t>
  </si>
  <si>
    <t>FR_CART_04</t>
  </si>
  <si>
    <t>Multiple products can be selected and validated in cart.</t>
  </si>
  <si>
    <t>FR_CART_05</t>
  </si>
  <si>
    <t>Continue Shopping returns to inventory.</t>
  </si>
  <si>
    <t>FR_CHECK_01</t>
  </si>
  <si>
    <t>Checkout</t>
  </si>
  <si>
    <t>First name, last name and postal code are accepted when valid.</t>
  </si>
  <si>
    <t>FR_CHECK_02</t>
  </si>
  <si>
    <t>Mandatory checkout fields are validated when blank.</t>
  </si>
  <si>
    <t>FR_CHECK_03</t>
  </si>
  <si>
    <t>Invalid/boundary checkout data is handled appropriately.</t>
  </si>
  <si>
    <t>FR_OVERVIEW_01</t>
  </si>
  <si>
    <t>Checkout Overview</t>
  </si>
  <si>
    <t>Selected products and prices are shown correctly.</t>
  </si>
  <si>
    <t>FR_OVERVIEW_02</t>
  </si>
  <si>
    <t>Subtotal, tax and total are calculated/displayed.</t>
  </si>
  <si>
    <t>FR_OVERVIEW_03</t>
  </si>
  <si>
    <t>Cancel and Finish actions work correctly.</t>
  </si>
  <si>
    <t>FR_ORDER_01</t>
  </si>
  <si>
    <t>Order Completion</t>
  </si>
  <si>
    <t>Successful order shows confirmation/completion message.</t>
  </si>
  <si>
    <t>FR_ORDER_02</t>
  </si>
  <si>
    <t>Post-order navigation behaves correctly.</t>
  </si>
  <si>
    <t>FR_NAV_01</t>
  </si>
  <si>
    <t>Navigation</t>
  </si>
  <si>
    <t>Menu opens/closes and All Items navigation works.</t>
  </si>
  <si>
    <t>FR_NAV_02</t>
  </si>
  <si>
    <t>About/Reset App State/Logout behave as applicable.</t>
  </si>
  <si>
    <t>FR_UI_01</t>
  </si>
  <si>
    <t>UI/Usability</t>
  </si>
  <si>
    <t>Basic layout, labels, messages and navigation are consistent.</t>
  </si>
  <si>
    <t>SauceDemo Test Scenarios - 25 Scenarios</t>
  </si>
  <si>
    <t>Scenario ID</t>
  </si>
  <si>
    <t>Test Scenario</t>
  </si>
  <si>
    <t>Test Type</t>
  </si>
  <si>
    <t>Priority</t>
  </si>
  <si>
    <t>SC_LOGIN_001</t>
  </si>
  <si>
    <t>Login with valid credentials.</t>
  </si>
  <si>
    <t>Positive</t>
  </si>
  <si>
    <t>High</t>
  </si>
  <si>
    <t>SC_LOGIN_002</t>
  </si>
  <si>
    <t>Login with invalid username and valid password.</t>
  </si>
  <si>
    <t>Negative</t>
  </si>
  <si>
    <t>SC_LOGIN_003</t>
  </si>
  <si>
    <t>Login with valid username and invalid password.</t>
  </si>
  <si>
    <t>SC_LOGIN_004</t>
  </si>
  <si>
    <t>Login with both username and password blank.</t>
  </si>
  <si>
    <t>SC_LOGIN_005</t>
  </si>
  <si>
    <t>Login with locked user credentials.</t>
  </si>
  <si>
    <t>SC_LOGIN_006</t>
  </si>
  <si>
    <t>Logout after successful login and verify return to login state.</t>
  </si>
  <si>
    <t>SC_INV_001</t>
  </si>
  <si>
    <t>Verify inventory/product listing is displayed after login.</t>
  </si>
  <si>
    <t>SC_INV_002</t>
  </si>
  <si>
    <t>Verify product name, description, price and image information.</t>
  </si>
  <si>
    <t>Medium</t>
  </si>
  <si>
    <t>SC_INV_003</t>
  </si>
  <si>
    <t>Verify product sorting options change displayed order correctly.</t>
  </si>
  <si>
    <t>SC_INV_004</t>
  </si>
  <si>
    <t>Open a product from inventory and verify product-detail navigation.</t>
  </si>
  <si>
    <t>SC_CART_001</t>
  </si>
  <si>
    <t>Add one product and verify cart badge/count.</t>
  </si>
  <si>
    <t>SC_CART_002</t>
  </si>
  <si>
    <t>Remove a selected product and verify cart state.</t>
  </si>
  <si>
    <t>SC_CART_003</t>
  </si>
  <si>
    <t>Add multiple different products and verify all are listed in cart.</t>
  </si>
  <si>
    <t>SC_CART_004</t>
  </si>
  <si>
    <t>Use Continue Shopping from cart and verify return to inventory.</t>
  </si>
  <si>
    <t>SC_CART_005</t>
  </si>
  <si>
    <t>Verify selected product details/price remain consistent between inventory and cart.</t>
  </si>
  <si>
    <t>Usability</t>
  </si>
  <si>
    <t>SC_CHECK_001</t>
  </si>
  <si>
    <t>Proceed to checkout with valid customer information.</t>
  </si>
  <si>
    <t>SC_CHECK_002</t>
  </si>
  <si>
    <t>Submit checkout with blank first name.</t>
  </si>
  <si>
    <t>SC_CHECK_003</t>
  </si>
  <si>
    <t>Submit checkout with blank last name.</t>
  </si>
  <si>
    <t>SC_CHECK_004</t>
  </si>
  <si>
    <t>Submit checkout with blank postal code.</t>
  </si>
  <si>
    <t>SC_CHECK_005</t>
  </si>
  <si>
    <t>Enter boundary/representative invalid customer data and verify handling.</t>
  </si>
  <si>
    <t>Boundary</t>
  </si>
  <si>
    <t>SC_OVERVIEW_001</t>
  </si>
  <si>
    <t>Verify selected products and prices on overview.</t>
  </si>
  <si>
    <t>SC_OVERVIEW_002</t>
  </si>
  <si>
    <t>Verify subtotal, tax and total are displayed/calculated.</t>
  </si>
  <si>
    <t>SC_OVERVIEW_003</t>
  </si>
  <si>
    <t>Use Cancel and verify expected navigation.</t>
  </si>
  <si>
    <t>SC_ORDER_001</t>
  </si>
  <si>
    <t>Finish a valid order and verify confirmation message.</t>
  </si>
  <si>
    <t>SC_NAV_001</t>
  </si>
  <si>
    <t>Verify menu open/close, All Items, Reset App State and Logout behavior.</t>
  </si>
  <si>
    <t>SauceDemo Reusable Test Data</t>
  </si>
  <si>
    <t>Data ID</t>
  </si>
  <si>
    <t>Category</t>
  </si>
  <si>
    <t>Data Type</t>
  </si>
  <si>
    <t>Value / Example</t>
  </si>
  <si>
    <t>Purpose / Expected Use</t>
  </si>
  <si>
    <t>TD_LOGIN_001</t>
  </si>
  <si>
    <t>Valid user</t>
  </si>
  <si>
    <t>Use a valid SauceDemo test username/password from the application documentation/training data.</t>
  </si>
  <si>
    <t>Positive login.</t>
  </si>
  <si>
    <t>TD_LOGIN_002</t>
  </si>
  <si>
    <t>Locked user</t>
  </si>
  <si>
    <t>Use the locked-user credential supplied by SauceDemo/trainer.</t>
  </si>
  <si>
    <t>Verify locked-user handling.</t>
  </si>
  <si>
    <t>TD_LOGIN_003</t>
  </si>
  <si>
    <t>Invalid username</t>
  </si>
  <si>
    <t>invalid_user</t>
  </si>
  <si>
    <t>Negative authentication.</t>
  </si>
  <si>
    <t>TD_LOGIN_004</t>
  </si>
  <si>
    <t>Invalid password</t>
  </si>
  <si>
    <t>invalid_password</t>
  </si>
  <si>
    <t>TD_LOGIN_005</t>
  </si>
  <si>
    <t>Blank username</t>
  </si>
  <si>
    <t>&lt;blank&gt;</t>
  </si>
  <si>
    <t>Mandatory-field validation.</t>
  </si>
  <si>
    <t>TD_LOGIN_006</t>
  </si>
  <si>
    <t>Blank password</t>
  </si>
  <si>
    <t>TD_LOGIN_007</t>
  </si>
  <si>
    <t>Both blank</t>
  </si>
  <si>
    <t>&lt;blank&gt; / &lt;blank&gt;</t>
  </si>
  <si>
    <t>TD_CHECK_001</t>
  </si>
  <si>
    <t>Valid first name</t>
  </si>
  <si>
    <t>Test</t>
  </si>
  <si>
    <t>Valid checkout data.</t>
  </si>
  <si>
    <t>TD_CHECK_002</t>
  </si>
  <si>
    <t>Valid last name</t>
  </si>
  <si>
    <t>User</t>
  </si>
  <si>
    <t>TD_CHECK_003</t>
  </si>
  <si>
    <t>Valid postal code</t>
  </si>
  <si>
    <t>400001</t>
  </si>
  <si>
    <t>Valid checkout data; replace with another fictional value if needed.</t>
  </si>
  <si>
    <t>TD_CHECK_004</t>
  </si>
  <si>
    <t>Blank first name</t>
  </si>
  <si>
    <t>TD_CHECK_005</t>
  </si>
  <si>
    <t>Blank last name</t>
  </si>
  <si>
    <t>TD_CHECK_006</t>
  </si>
  <si>
    <t>Blank postal code</t>
  </si>
  <si>
    <t>TD_CHECK_007</t>
  </si>
  <si>
    <t>Boundary/representative name</t>
  </si>
  <si>
    <t>A</t>
  </si>
  <si>
    <t>Boundary/edge behavior.</t>
  </si>
  <si>
    <t>TD_CHECK_008</t>
  </si>
  <si>
    <t>Very long fictional text</t>
  </si>
  <si>
    <t>TD_CHECK_009</t>
  </si>
  <si>
    <t>Representative invalid postal code</t>
  </si>
  <si>
    <t>ABC</t>
  </si>
  <si>
    <t>Invalid data handling.</t>
  </si>
  <si>
    <t>TD_CHECK_010</t>
  </si>
  <si>
    <t>Representative special characters</t>
  </si>
  <si>
    <t>Test@123</t>
  </si>
  <si>
    <t>Invalid/edge data handling.</t>
  </si>
  <si>
    <t>TD_PRODUCT_001</t>
  </si>
  <si>
    <t>Product</t>
  </si>
  <si>
    <t>Single product</t>
  </si>
  <si>
    <t>One available inventory item</t>
  </si>
  <si>
    <t>Single-item cart flow.</t>
  </si>
  <si>
    <t>TD_PRODUCT_002</t>
  </si>
  <si>
    <t>Multiple products</t>
  </si>
  <si>
    <t>Two or more different available inventory items</t>
  </si>
  <si>
    <t>Multi-item cart flow.</t>
  </si>
  <si>
    <t>TD_PRODUCT_003</t>
  </si>
  <si>
    <t>Product combination</t>
  </si>
  <si>
    <t>Low-price + high-price item</t>
  </si>
  <si>
    <t>Subtotal/tax/total validation.</t>
  </si>
  <si>
    <t>SauceDemo Detailed Test Cases - 57 Cases</t>
  </si>
  <si>
    <t>Test Case ID</t>
  </si>
  <si>
    <t>Feature/Requirement ID</t>
  </si>
  <si>
    <t>Test Case Title/Description</t>
  </si>
  <si>
    <t>Preconditions</t>
  </si>
  <si>
    <t>Test Steps</t>
  </si>
  <si>
    <t>Expected Result</t>
  </si>
  <si>
    <t>Actual Result</t>
  </si>
  <si>
    <t>Defect/Jira ID</t>
  </si>
  <si>
    <t>Executed By</t>
  </si>
  <si>
    <t>Execution Date</t>
  </si>
  <si>
    <t>TC_LOGIN_001</t>
  </si>
  <si>
    <t>Login using valid credentials</t>
  </si>
  <si>
    <t>SauceDemo login page is accessible.</t>
  </si>
  <si>
    <t>1. Open SauceDemo.
2. Enter valid username.
3. Enter valid password.
4. Click Login.</t>
  </si>
  <si>
    <t>User is authenticated and inventory page is displayed.</t>
  </si>
  <si>
    <t>Not Executed</t>
  </si>
  <si>
    <t>TC_LOGIN_002</t>
  </si>
  <si>
    <t>Invalid username with valid password</t>
  </si>
  <si>
    <t>Login page is accessible.</t>
  </si>
  <si>
    <t>1. Enter invalid username.
2. Enter valid password.
3. Click Login.</t>
  </si>
  <si>
    <t>TD_LOGIN_003 + valid password</t>
  </si>
  <si>
    <t>Login is rejected and an appropriate error message is displayed.</t>
  </si>
  <si>
    <t>TC_LOGIN_003</t>
  </si>
  <si>
    <t>Valid username with invalid password</t>
  </si>
  <si>
    <t>1. Enter valid username.
2. Enter invalid password.
3. Click Login.</t>
  </si>
  <si>
    <t>Valid username + TD_LOGIN_004</t>
  </si>
  <si>
    <t>TC_LOGIN_004</t>
  </si>
  <si>
    <t>Both username and password blank</t>
  </si>
  <si>
    <t>1. Leave username blank.
2. Leave password blank.
3. Click Login.</t>
  </si>
  <si>
    <t>Mandatory validation/error message is displayed and user remains on login page.</t>
  </si>
  <si>
    <t>TC_LOGIN_005</t>
  </si>
  <si>
    <t>Username blank and password populated</t>
  </si>
  <si>
    <t>1. Leave username blank.
2. Enter password.
3. Click Login.</t>
  </si>
  <si>
    <t>Blank username + valid password</t>
  </si>
  <si>
    <t>Username validation/error is displayed.</t>
  </si>
  <si>
    <t>TC_LOGIN_006</t>
  </si>
  <si>
    <t>Password blank and username populated</t>
  </si>
  <si>
    <t>1. Enter username.
2. Leave password blank.
3. Click Login.</t>
  </si>
  <si>
    <t>Valid username + blank password</t>
  </si>
  <si>
    <t>Password validation/error is displayed.</t>
  </si>
  <si>
    <t>TC_LOGIN_007</t>
  </si>
  <si>
    <t>Locked user login attempt</t>
  </si>
  <si>
    <t>1. Enter locked-user username.
2. Enter corresponding password.
3. Click Login.</t>
  </si>
  <si>
    <t>User cannot log in and locked-user error handling is displayed.</t>
  </si>
  <si>
    <t>TC_LOGIN_008</t>
  </si>
  <si>
    <t>Username with leading/trailing spaces</t>
  </si>
  <si>
    <t>1. Enter a valid username with spaces around it.
2. Enter valid password.
3. Click Login.</t>
  </si>
  <si>
    <t>Valid username padded with spaces</t>
  </si>
  <si>
    <t>Application handles whitespace consistently according to its implemented behavior; record actual result.</t>
  </si>
  <si>
    <t>TC_LOGIN_009</t>
  </si>
  <si>
    <t>Logout after successful login</t>
  </si>
  <si>
    <t>User is logged in.</t>
  </si>
  <si>
    <t>1. Open menu.
2. Click Logout.</t>
  </si>
  <si>
    <t>Valid login</t>
  </si>
  <si>
    <t>User is logged out and returned to login page.</t>
  </si>
  <si>
    <t>TC_LOGIN_010</t>
  </si>
  <si>
    <t>Browser back/session behavior after logout</t>
  </si>
  <si>
    <t>User has logged out.</t>
  </si>
  <si>
    <t>1. Click browser Back.
2. Observe page/session state.</t>
  </si>
  <si>
    <t>Logged-out user should not regain an authenticated shopping session through browser navigation.</t>
  </si>
  <si>
    <t>TC_INV_001</t>
  </si>
  <si>
    <t>Inventory page displays products</t>
  </si>
  <si>
    <t>Valid user is logged in.</t>
  </si>
  <si>
    <t>1. Login with valid credentials.
2. Observe inventory page.</t>
  </si>
  <si>
    <t>Product listing is displayed without obvious missing core elements.</t>
  </si>
  <si>
    <t>TC_INV_002</t>
  </si>
  <si>
    <t>Product cards show name, description, price and image</t>
  </si>
  <si>
    <t>Inventory page is displayed.</t>
  </si>
  <si>
    <t>1. Inspect multiple product cards.</t>
  </si>
  <si>
    <t>Available inventory products</t>
  </si>
  <si>
    <t>Each product card displays expected information and an image.</t>
  </si>
  <si>
    <t>TC_INV_003</t>
  </si>
  <si>
    <t>Sort products A to Z</t>
  </si>
  <si>
    <t>1. Open sort control.
2. Select Name (A to Z).
3. Compare displayed order.</t>
  </si>
  <si>
    <t>Available products</t>
  </si>
  <si>
    <t>Products are ordered alphabetically ascending by name.</t>
  </si>
  <si>
    <t>TC_INV_004</t>
  </si>
  <si>
    <t>Sort products Z to A</t>
  </si>
  <si>
    <t>1. Open sort control.
2. Select Name (Z to A).
3. Compare displayed order.</t>
  </si>
  <si>
    <t>Products are ordered alphabetically descending by name.</t>
  </si>
  <si>
    <t>TC_INV_005</t>
  </si>
  <si>
    <t>Sort price low to high</t>
  </si>
  <si>
    <t>1. Open sort control.
2. Select Price (low to high).
3. Compare prices.</t>
  </si>
  <si>
    <t>Products are ordered from lowest to highest price.</t>
  </si>
  <si>
    <t>TC_INV_006</t>
  </si>
  <si>
    <t>Sort price high to low</t>
  </si>
  <si>
    <t>1. Open sort control.
2. Select Price (high to low).
3. Compare prices.</t>
  </si>
  <si>
    <t>Products are ordered from highest to lowest price.</t>
  </si>
  <si>
    <t>TC_INV_007</t>
  </si>
  <si>
    <t>Open product detail from product name</t>
  </si>
  <si>
    <t>1. Click a product name.</t>
  </si>
  <si>
    <t>Selected product detail page opens and matches the selected product.</t>
  </si>
  <si>
    <t>TC_INV_008</t>
  </si>
  <si>
    <t>Open product detail from product image</t>
  </si>
  <si>
    <t>1. Click a product image.</t>
  </si>
  <si>
    <t>Selected product detail page opens for the corresponding product.</t>
  </si>
  <si>
    <t>TC_INV_009</t>
  </si>
  <si>
    <t>Verify inventory layout and labels</t>
  </si>
  <si>
    <t>1. Review header, product cards, buttons and sort control.</t>
  </si>
  <si>
    <t>Labels, controls and layout are clear and consistent.</t>
  </si>
  <si>
    <t>TC_INV_010</t>
  </si>
  <si>
    <t>Refresh inventory page after login</t>
  </si>
  <si>
    <t>User is logged in and inventory is visible.</t>
  </si>
  <si>
    <t>1. Refresh browser.
2. Observe page and selected state.</t>
  </si>
  <si>
    <t>Page reloads consistently and application remains in an expected authenticated state.</t>
  </si>
  <si>
    <t>TC_CART_001</t>
  </si>
  <si>
    <t>Add one product to cart</t>
  </si>
  <si>
    <t>1. Click Add to cart for one product.
2. Open cart.</t>
  </si>
  <si>
    <t>Selected product appears in cart.</t>
  </si>
  <si>
    <t>TC_CART_002</t>
  </si>
  <si>
    <t>Verify cart badge/count after one item</t>
  </si>
  <si>
    <t>1. Add one product.
2. Observe cart badge.</t>
  </si>
  <si>
    <t>Cart badge/count reflects one selected item.</t>
  </si>
  <si>
    <t>TC_CART_003</t>
  </si>
  <si>
    <t>Remove product from cart</t>
  </si>
  <si>
    <t>One product is in cart.</t>
  </si>
  <si>
    <t>1. Open cart.
2. Click Remove.</t>
  </si>
  <si>
    <t>Product is removed and cart state/count updates accordingly.</t>
  </si>
  <si>
    <t>TC_CART_004</t>
  </si>
  <si>
    <t>Add two different products</t>
  </si>
  <si>
    <t>1. Add product 1.
2. Add product 2.
3. Open cart.</t>
  </si>
  <si>
    <t>Both selected products appear in cart.</t>
  </si>
  <si>
    <t>TC_CART_005</t>
  </si>
  <si>
    <t>Verify multiple-item cart count</t>
  </si>
  <si>
    <t>Two products are selected.</t>
  </si>
  <si>
    <t>1. Observe cart badge.</t>
  </si>
  <si>
    <t>Cart badge/count reflects number of selected items.</t>
  </si>
  <si>
    <t>TC_CART_006</t>
  </si>
  <si>
    <t>Verify product name/price consistency in cart</t>
  </si>
  <si>
    <t>Product has been selected.</t>
  </si>
  <si>
    <t>1. Note product name/price in inventory.
2. Open cart.
3. Compare.</t>
  </si>
  <si>
    <t>Product name and price remain consistent between inventory and cart.</t>
  </si>
  <si>
    <t>TC_CART_007</t>
  </si>
  <si>
    <t>Continue Shopping from cart</t>
  </si>
  <si>
    <t>Cart page is open.</t>
  </si>
  <si>
    <t>1. Click Continue Shopping.</t>
  </si>
  <si>
    <t>Any selected product</t>
  </si>
  <si>
    <t>User returns to inventory page.</t>
  </si>
  <si>
    <t>TC_CART_008</t>
  </si>
  <si>
    <t>Remove one item from a multi-item cart</t>
  </si>
  <si>
    <t>At least two products are in cart.</t>
  </si>
  <si>
    <t>1. Open cart.
2. Remove one product.
3. Observe remaining items.</t>
  </si>
  <si>
    <t>Only the selected product is removed; remaining item(s) stay in cart and count updates.</t>
  </si>
  <si>
    <t>TC_CART_009</t>
  </si>
  <si>
    <t>Verify cart icon navigation</t>
  </si>
  <si>
    <t>At least one product is selected.</t>
  </si>
  <si>
    <t>1. Click cart icon.</t>
  </si>
  <si>
    <t>Cart page opens and selected item is shown.</t>
  </si>
  <si>
    <t>TC_CART_010</t>
  </si>
  <si>
    <t>Reset App State clears cart selection</t>
  </si>
  <si>
    <t>User is logged in and at least one product is selected.</t>
  </si>
  <si>
    <t>1. Open menu.
2. Select Reset App State.
3. Check cart.</t>
  </si>
  <si>
    <t>Application state is reset and selected cart item/count is cleared as implemented.</t>
  </si>
  <si>
    <t>TC_CHECK_001</t>
  </si>
  <si>
    <t>Proceed from cart to checkout</t>
  </si>
  <si>
    <t>At least one product is in cart.</t>
  </si>
  <si>
    <t>1. Open cart.
2. Click Checkout.</t>
  </si>
  <si>
    <t>Checkout customer-information page opens.</t>
  </si>
  <si>
    <t>TC_CHECK_002</t>
  </si>
  <si>
    <t>Submit checkout with valid customer information</t>
  </si>
  <si>
    <t>Checkout information page is open.</t>
  </si>
  <si>
    <t>1. Enter first name.
2. Enter last name.
3. Enter postal code.
4. Continue.</t>
  </si>
  <si>
    <t>TD_CHECK_001 + TD_CHECK_002 + TD_CHECK_003</t>
  </si>
  <si>
    <t>User proceeds to checkout overview.</t>
  </si>
  <si>
    <t>TC_CHECK_003</t>
  </si>
  <si>
    <t>1. Leave first name blank.
2. Enter other valid fields.
3. Click Continue.</t>
  </si>
  <si>
    <t>TD_CHECK_004 + valid remaining data</t>
  </si>
  <si>
    <t>First-name validation/error is displayed and user does not proceed.</t>
  </si>
  <si>
    <t>TC_CHECK_004</t>
  </si>
  <si>
    <t>1. Enter first name.
2. Leave last name blank.
3. Enter postal code.
4. Continue.</t>
  </si>
  <si>
    <t>TD_CHECK_005 + valid remaining data</t>
  </si>
  <si>
    <t>Last-name validation/error is displayed and user does not proceed.</t>
  </si>
  <si>
    <t>TC_CHECK_005</t>
  </si>
  <si>
    <t>1. Enter first name.
2. Enter last name.
3. Leave postal code blank.
4. Continue.</t>
  </si>
  <si>
    <t>TD_CHECK_006 + valid remaining data</t>
  </si>
  <si>
    <t>Postal-code validation/error is displayed and user does not proceed.</t>
  </si>
  <si>
    <t>TC_CHECK_006</t>
  </si>
  <si>
    <t>All checkout fields blank</t>
  </si>
  <si>
    <t>1. Leave all fields blank.
2. Click Continue.</t>
  </si>
  <si>
    <t>Blank first name + blank last name + blank postal code</t>
  </si>
  <si>
    <t>Mandatory validation is displayed and user remains on checkout information page.</t>
  </si>
  <si>
    <t>TC_CHECK_007</t>
  </si>
  <si>
    <t>1. Enter valid names.
2. Enter representative invalid postal code.
3. Continue.</t>
  </si>
  <si>
    <t>Application handles invalid postal code according to implemented validation; record actual behavior.</t>
  </si>
  <si>
    <t>TC_CHECK_008</t>
  </si>
  <si>
    <t>Boundary short name</t>
  </si>
  <si>
    <t>1. Enter boundary name value.
2. Enter valid remaining data.
3. Continue.</t>
  </si>
  <si>
    <t>Application handles boundary input consistently; record actual behavior.</t>
  </si>
  <si>
    <t>TC_CHECK_009</t>
  </si>
  <si>
    <t>Very long name input</t>
  </si>
  <si>
    <t>1. Enter long fictional text in name field.
2. Enter valid remaining data.
3. Continue.</t>
  </si>
  <si>
    <t>Application handles long input without unexpected behavior; record actual behavior.</t>
  </si>
  <si>
    <t>TC_CHECK_010</t>
  </si>
  <si>
    <t>Special characters in customer field</t>
  </si>
  <si>
    <t>1. Enter representative special characters.
2. Enter valid remaining data.
3. Continue.</t>
  </si>
  <si>
    <t>Application handles special characters according to validation rules; record actual behavior.</t>
  </si>
  <si>
    <t>TC_OVERVIEW_001</t>
  </si>
  <si>
    <t>Selected product appears on overview</t>
  </si>
  <si>
    <t>Valid checkout information has been submitted.</t>
  </si>
  <si>
    <t>1. Observe overview item list.</t>
  </si>
  <si>
    <t>Selected product is listed with expected details.</t>
  </si>
  <si>
    <t>TC_OVERVIEW_002</t>
  </si>
  <si>
    <t>Multiple selected products appear on overview</t>
  </si>
  <si>
    <t>Multiple products are in cart and valid checkout info submitted.</t>
  </si>
  <si>
    <t>All selected products are listed.</t>
  </si>
  <si>
    <t>TC_OVERVIEW_003</t>
  </si>
  <si>
    <t>Verify item prices on overview</t>
  </si>
  <si>
    <t>Overview page is open.</t>
  </si>
  <si>
    <t>1. Compare overview prices with cart prices.</t>
  </si>
  <si>
    <t>Item prices match the selected products.</t>
  </si>
  <si>
    <t>TC_OVERVIEW_004</t>
  </si>
  <si>
    <t>Verify subtotal display</t>
  </si>
  <si>
    <t>Overview page is open with selected product(s).</t>
  </si>
  <si>
    <t>1. Note item prices.
2. Compare to displayed subtotal.</t>
  </si>
  <si>
    <t>Displayed subtotal equals the sum of selected item prices.</t>
  </si>
  <si>
    <t>TC_OVERVIEW_005</t>
  </si>
  <si>
    <t>Verify tax and total display</t>
  </si>
  <si>
    <t>1. Observe tax.
2. Observe total.
3. Compare displayed values.</t>
  </si>
  <si>
    <t>Tax and total are displayed and total is consistent with subtotal + tax.</t>
  </si>
  <si>
    <t>TC_OVERVIEW_006</t>
  </si>
  <si>
    <t>Cancel from overview</t>
  </si>
  <si>
    <t>1. Click Cancel.</t>
  </si>
  <si>
    <t>Valid checkout flow</t>
  </si>
  <si>
    <t>User is navigated away from overview according to application behavior.</t>
  </si>
  <si>
    <t>TC_OVERVIEW_007</t>
  </si>
  <si>
    <t>Finish button completes valid order</t>
  </si>
  <si>
    <t>Overview page is open with valid order data.</t>
  </si>
  <si>
    <t>1. Click Finish.</t>
  </si>
  <si>
    <t>Order is completed and confirmation page/message is displayed.</t>
  </si>
  <si>
    <t>TC_ORDER_001</t>
  </si>
  <si>
    <t>Verify order confirmation message</t>
  </si>
  <si>
    <t>Finish action was submitted.</t>
  </si>
  <si>
    <t>1. Observe completion page.</t>
  </si>
  <si>
    <t>Order confirmation/completion message is displayed.</t>
  </si>
  <si>
    <t>TC_ORDER_002</t>
  </si>
  <si>
    <t>Verify post-order navigation</t>
  </si>
  <si>
    <t>Order completion page is displayed.</t>
  </si>
  <si>
    <t>1. Use available post-order navigation control.</t>
  </si>
  <si>
    <t>Navigation after completion behaves as implemented and returns to an appropriate application page.</t>
  </si>
  <si>
    <t>TC_ORDER_003</t>
  </si>
  <si>
    <t>Complete end-to-end purchase flow</t>
  </si>
  <si>
    <t>SauceDemo accessible; valid test data available.</t>
  </si>
  <si>
    <t>1. Login.
2. Select product(s).
3. Open cart.
4. Checkout.
5. Enter customer information.
6. Continue.
7. Verify overview.
8. Finish order.</t>
  </si>
  <si>
    <t>TD_LOGIN_001 + TD_PRODUCT_003 + TD_CHECK_001/002/003</t>
  </si>
  <si>
    <t>User completes the full purchase flow and receives order confirmation.</t>
  </si>
  <si>
    <t>TC_NAV_001</t>
  </si>
  <si>
    <t>Open and close navigation menu</t>
  </si>
  <si>
    <t>1. Open menu.
2. Observe menu.
3. Close menu.</t>
  </si>
  <si>
    <t>Menu opens and closes correctly.</t>
  </si>
  <si>
    <t>TC_NAV_002</t>
  </si>
  <si>
    <t>All Items menu navigation</t>
  </si>
  <si>
    <t>User is logged in and menu is open.</t>
  </si>
  <si>
    <t>1. Click All Items.</t>
  </si>
  <si>
    <t>User is taken to inventory/products page.</t>
  </si>
  <si>
    <t>TC_NAV_003</t>
  </si>
  <si>
    <t>Logout from menu</t>
  </si>
  <si>
    <t>User is logged out and login page is displayed.</t>
  </si>
  <si>
    <t>TC_NAV_004</t>
  </si>
  <si>
    <t>Reset App State from menu</t>
  </si>
  <si>
    <t>User is logged in with selected cart state.</t>
  </si>
  <si>
    <t>1. Open menu.
2. Click Reset App State.
3. Verify cart/app state.</t>
  </si>
  <si>
    <t>Application state is reset as implemented; cart selection is cleared.</t>
  </si>
  <si>
    <t>TC_NAV_005</t>
  </si>
  <si>
    <t>Verify navigation labels and consistency</t>
  </si>
  <si>
    <t>1. Review menu labels.
2. Navigate between inventory, cart and checkout.</t>
  </si>
  <si>
    <t>Valid login + selected product</t>
  </si>
  <si>
    <t>Navigation labels are understandable and transitions are consistent without obvious usability issues.</t>
  </si>
  <si>
    <t>TC_UI_001</t>
  </si>
  <si>
    <t>Verify visible controls and messages are readable</t>
  </si>
  <si>
    <t>Application page is displayed.</t>
  </si>
  <si>
    <t>1. Review buttons, labels and validation messages.</t>
  </si>
  <si>
    <t>Any relevant screen</t>
  </si>
  <si>
    <t>Text and controls are readable and clearly associated with their actions.</t>
  </si>
  <si>
    <t>TC_UI_002</t>
  </si>
  <si>
    <t>Verify layout remains usable during end-to-end flow</t>
  </si>
  <si>
    <t>Valid test data available.</t>
  </si>
  <si>
    <t>1. Execute the purchase flow.
2. Observe layout at each step.</t>
  </si>
  <si>
    <t>End-to-end data</t>
  </si>
  <si>
    <t>Core controls remain visible/usable and navigation is understandable.</t>
  </si>
  <si>
    <t>Test Execution Tracker - Update Only After Genuine Execution</t>
  </si>
  <si>
    <t>Evidence</t>
  </si>
  <si>
    <t>Remarks</t>
  </si>
  <si>
    <t>Jira Defect Report - Genuine Defects Only</t>
  </si>
  <si>
    <t>Jira ID</t>
  </si>
  <si>
    <t>Summary</t>
  </si>
  <si>
    <t>Environment</t>
  </si>
  <si>
    <t>Precondition</t>
  </si>
  <si>
    <t>Steps to Reproduce</t>
  </si>
  <si>
    <t>Severity</t>
  </si>
  <si>
    <t>Test Case Reference</t>
  </si>
  <si>
    <t>Root Cause / Notes</t>
  </si>
  <si>
    <t>Date Logged</t>
  </si>
  <si>
    <t>Final Test Execution Report</t>
  </si>
  <si>
    <t>Metric</t>
  </si>
  <si>
    <t>Value</t>
  </si>
  <si>
    <t>Notes / Calculation</t>
  </si>
  <si>
    <t>Execution Information</t>
  </si>
  <si>
    <t>SauceDemo / Swag Labs</t>
  </si>
  <si>
    <t>Browser</t>
  </si>
  <si>
    <t>Enter actual browser/version</t>
  </si>
  <si>
    <t>Do not claim browser coverage that was not executed.</t>
  </si>
  <si>
    <t>Tester</t>
  </si>
  <si>
    <t>Enter tester name</t>
  </si>
  <si>
    <t>Enter actual execution date</t>
  </si>
  <si>
    <t>Execution Summary</t>
  </si>
  <si>
    <t>Total Planned</t>
  </si>
  <si>
    <t>Executed</t>
  </si>
  <si>
    <t>Counts statuses other than Not Executed.</t>
  </si>
  <si>
    <t>Passed</t>
  </si>
  <si>
    <t>Failed</t>
  </si>
  <si>
    <t>Blocked</t>
  </si>
  <si>
    <t>Cases not yet executed.</t>
  </si>
  <si>
    <t>Pass Percentage</t>
  </si>
  <si>
    <t>Passed / Executed × 100; update formula basis if row layout changes.</t>
  </si>
  <si>
    <t>Defect Summary</t>
  </si>
  <si>
    <t>Total Defects</t>
  </si>
  <si>
    <t>Only genuine Jira defects should be entered.</t>
  </si>
  <si>
    <t>Critical</t>
  </si>
  <si>
    <t>Only observed/logged defects.</t>
  </si>
  <si>
    <t>Low</t>
  </si>
  <si>
    <t>Conclusion</t>
  </si>
  <si>
    <t>Overall Test Status</t>
  </si>
  <si>
    <t>Enter after execution</t>
  </si>
  <si>
    <t>State whether exit criteria were met.</t>
  </si>
  <si>
    <t>Planned Cases</t>
  </si>
  <si>
    <t>Pass %</t>
  </si>
  <si>
    <t>Requirements Traceability Matrix</t>
  </si>
  <si>
    <t>Scenario ID(s)</t>
  </si>
  <si>
    <t>Test Case ID(s)</t>
  </si>
  <si>
    <t>Execution Status</t>
  </si>
  <si>
    <t>Coverage Status</t>
  </si>
  <si>
    <t>Covered</t>
  </si>
  <si>
    <t>Update execution/defect fields after genuine testing.</t>
  </si>
  <si>
    <t>SC_LOGIN_002, SC_LOGIN_003</t>
  </si>
  <si>
    <t>TC_LOGIN_002, TC_LOGIN_003, TC_LOGIN_008</t>
  </si>
  <si>
    <t>TC_LOGIN_004, TC_LOGIN_005, TC_LOGIN_006</t>
  </si>
  <si>
    <t>TC_LOGIN_009, TC_LOGIN_010</t>
  </si>
  <si>
    <t>TC_INV_001, TC_INV_010</t>
  </si>
  <si>
    <t>TC_INV_003, TC_INV_004, TC_INV_005, TC_INV_006</t>
  </si>
  <si>
    <t>TC_INV_007, TC_INV_008</t>
  </si>
  <si>
    <t>TC_CART_003, TC_CART_008</t>
  </si>
  <si>
    <t>TC_CART_002, TC_CART_009</t>
  </si>
  <si>
    <t>SC_CART_003, SC_CART_005</t>
  </si>
  <si>
    <t>TC_CART_004, TC_CART_005, TC_CART_006</t>
  </si>
  <si>
    <t>TC_CHECK_001, TC_CHECK_002</t>
  </si>
  <si>
    <t>SC_CHECK_002, SC_CHECK_003, SC_CHECK_004</t>
  </si>
  <si>
    <t>TC_CHECK_003, TC_CHECK_004, TC_CHECK_005, TC_CHECK_006</t>
  </si>
  <si>
    <t>TC_CHECK_007, TC_CHECK_008, TC_CHECK_009, TC_CHECK_010</t>
  </si>
  <si>
    <t>TC_OVERVIEW_001, TC_OVERVIEW_002</t>
  </si>
  <si>
    <t>TC_OVERVIEW_003, TC_OVERVIEW_004, TC_OVERVIEW_005</t>
  </si>
  <si>
    <t>TC_OVERVIEW_006, TC_OVERVIEW_007</t>
  </si>
  <si>
    <t>TC_ORDER_001, TC_ORDER_003</t>
  </si>
  <si>
    <t>TC_NAV_001, TC_NAV_002</t>
  </si>
  <si>
    <t>TC_CART_010, TC_NAV_003, TC_NAV_004</t>
  </si>
  <si>
    <t>TC_INV_009, TC_NAV_005, TC_UI_001, TC_UI_002</t>
  </si>
  <si>
    <t>Jira Evidence Checklist</t>
  </si>
  <si>
    <t>Evidence ID</t>
  </si>
  <si>
    <t>Evidence Item</t>
  </si>
  <si>
    <t>What to Capture</t>
  </si>
  <si>
    <t>File Name / Link</t>
  </si>
  <si>
    <t>JE_001</t>
  </si>
  <si>
    <t>Jira Project</t>
  </si>
  <si>
    <t>Project page showing the SauceDemo testing project.</t>
  </si>
  <si>
    <t>JE_002</t>
  </si>
  <si>
    <t>Test Tracking</t>
  </si>
  <si>
    <t>Jira work items/components/labels showing testing activities, if used.</t>
  </si>
  <si>
    <t>JE_003</t>
  </si>
  <si>
    <t>Defect Record</t>
  </si>
  <si>
    <t>Each genuine defect with Summary, Module, Environment, Preconditions, Steps, Actual, Expected, Severity and Priority.</t>
  </si>
  <si>
    <t>JE_004</t>
  </si>
  <si>
    <t>Defect Evidence</t>
  </si>
  <si>
    <t>Readable screenshot or proof attached to each genuine defect.</t>
  </si>
  <si>
    <t>JE_005</t>
  </si>
  <si>
    <t>Jira defect linked/referenced from the failed test case and RTM.</t>
  </si>
  <si>
    <t>JE_006</t>
  </si>
  <si>
    <t>Jira Filter/View</t>
  </si>
  <si>
    <t>At least one useful filter/view for defects or testing status.</t>
  </si>
  <si>
    <t>JE_007</t>
  </si>
  <si>
    <t>Export/Screenshot</t>
  </si>
  <si>
    <t>Relevant Jira screenshots/exports saved under 08-Jira-Evidence in GitHub.</t>
  </si>
  <si>
    <t>GitHub Repository Structure &amp; Commit Plan</t>
  </si>
  <si>
    <t>Path</t>
  </si>
  <si>
    <t>Required Content</t>
  </si>
  <si>
    <t>Purpose</t>
  </si>
  <si>
    <t>saucedemo-manual-testing-project/</t>
  </si>
  <si>
    <t>Root repository</t>
  </si>
  <si>
    <t>Professional final repository.</t>
  </si>
  <si>
    <t>README.md</t>
  </si>
  <si>
    <t>Overview, URL, scope, tools, document index, execution summary and Jira note.</t>
  </si>
  <si>
    <t>Trainer-facing project overview.</t>
  </si>
  <si>
    <t>01-Test-Plan/</t>
  </si>
  <si>
    <t>Final Test Plan</t>
  </si>
  <si>
    <t>Store final test plan.</t>
  </si>
  <si>
    <t>02-Test-Scenarios/</t>
  </si>
  <si>
    <t>Test Scenario workbook/document</t>
  </si>
  <si>
    <t>Store scenarios.</t>
  </si>
  <si>
    <t>03-Test-Cases/</t>
  </si>
  <si>
    <t>Detailed Test Case workbook</t>
  </si>
  <si>
    <t>Store detailed test cases.</t>
  </si>
  <si>
    <t>04-Test-Data/</t>
  </si>
  <si>
    <t>Reusable test data.</t>
  </si>
  <si>
    <t>05-Execution-Report/</t>
  </si>
  <si>
    <t>Final execution summary.</t>
  </si>
  <si>
    <t>06-Defect-Report/</t>
  </si>
  <si>
    <t>Defect report/export and evidence</t>
  </si>
  <si>
    <t>Genuine Jira defects and evidence.</t>
  </si>
  <si>
    <t>07-RTM/</t>
  </si>
  <si>
    <t>Traceability from requirements to execution/defects.</t>
  </si>
  <si>
    <t>08-Jira-Evidence/</t>
  </si>
  <si>
    <t>Jira screenshots/exports</t>
  </si>
  <si>
    <t>Evidence of Jira tracking/defect management.</t>
  </si>
  <si>
    <t>09-Test-Evidence/</t>
  </si>
  <si>
    <t>Relevant manual execution evidence</t>
  </si>
  <si>
    <t>Readable execution screenshots/proof.</t>
  </si>
  <si>
    <t>README.md Content Template</t>
  </si>
  <si>
    <t>Project Title</t>
  </si>
  <si>
    <t>SauceDemo Manual Testing Project</t>
  </si>
  <si>
    <t>Application</t>
  </si>
  <si>
    <t>URL</t>
  </si>
  <si>
    <t>End-to-End Manual QA / Functional Testing</t>
  </si>
  <si>
    <t>Validate the in-scope SauceDemo modules through manual testing and document scenarios, test cases, test data, execution, defects, RTM and evidence.</t>
  </si>
  <si>
    <t>Tools</t>
  </si>
  <si>
    <t>Browser, Excel/Google Sheets, Jira, Git and GitHub.</t>
  </si>
  <si>
    <t>Scope</t>
  </si>
  <si>
    <t>Login, Inventory, Cart, Checkout Customer Information, Checkout Overview, Order Completion, Menu/Navigation and basic UI/Usability.</t>
  </si>
  <si>
    <t>Artifacts</t>
  </si>
  <si>
    <t>01-Test-Plan; 02-Test-Scenarios; 03-Test-Cases; 04-Test-Data; 05-Execution-Report; 06-Defect-Report; 07-RTM; 08-Jira-Evidence; 09-Test-Evidence.</t>
  </si>
  <si>
    <t>Update after genuine execution: planned, executed, passed, failed, blocked, not executed and pass percentage.</t>
  </si>
  <si>
    <t>Defects</t>
  </si>
  <si>
    <t>Only genuine defects observed during execution are to be logged in Jira and referenced here.</t>
  </si>
  <si>
    <t>Jira</t>
  </si>
  <si>
    <t>Add the final Jira project/board/filter information and evidence location.</t>
  </si>
  <si>
    <t>Repository Note</t>
  </si>
  <si>
    <t>Keep main branch clean, use meaningful commits, and do not commit secrets, credentials or confidential data.</t>
  </si>
  <si>
    <t>Meaningful Git Commit Plan</t>
  </si>
  <si>
    <t>Suggested Commit Message</t>
  </si>
  <si>
    <t>docs: add project test plan</t>
  </si>
  <si>
    <t>Add finalized SauceDemo test plan.</t>
  </si>
  <si>
    <t>test: add test scenarios</t>
  </si>
  <si>
    <t>Add meaningful test scenarios.</t>
  </si>
  <si>
    <t>test: add detailed test cases</t>
  </si>
  <si>
    <t>Add detailed manual test cases.</t>
  </si>
  <si>
    <t>testdata: add reusable test data</t>
  </si>
  <si>
    <t>Add valid, invalid, blank and boundary data.</t>
  </si>
  <si>
    <t>test: add execution results</t>
  </si>
  <si>
    <t>Commit genuinely executed results and evidence references.</t>
  </si>
  <si>
    <t>qa: add defect report</t>
  </si>
  <si>
    <t>Add genuine Jira defect report/evidence.</t>
  </si>
  <si>
    <t>qa: add rtm</t>
  </si>
  <si>
    <t>Add completed requirements traceability matrix.</t>
  </si>
  <si>
    <t>docs: add execution report</t>
  </si>
  <si>
    <t>Add final execution report.</t>
  </si>
  <si>
    <t>docs: add jira evidence</t>
  </si>
  <si>
    <t>Add Jira screenshots/exports.</t>
  </si>
  <si>
    <t>docs: update readme</t>
  </si>
  <si>
    <t>Update README with final summary and repository index.</t>
  </si>
  <si>
    <t>Assignment File Naming Standard</t>
  </si>
  <si>
    <t>Artifact</t>
  </si>
  <si>
    <t>Suggested File Name</t>
  </si>
  <si>
    <t>GitHub Folder</t>
  </si>
  <si>
    <t>SauceDemo_Test_Plan.pdf or .docx</t>
  </si>
  <si>
    <t>SauceDemo_Test_Scenarios.xlsx</t>
  </si>
  <si>
    <t>Test Cases</t>
  </si>
  <si>
    <t>SauceDemo_Test_Cases.xlsx</t>
  </si>
  <si>
    <t>SauceDemo_Test_Data.xlsx</t>
  </si>
  <si>
    <t>SauceDemo_Test_Execution_Report.pdf or .docx</t>
  </si>
  <si>
    <t>Defect Report</t>
  </si>
  <si>
    <t>SauceDemo_Defect_Report.xlsx</t>
  </si>
  <si>
    <t>SauceDemo_RTM.xlsx</t>
  </si>
  <si>
    <t>Submission &amp; Mock / Review Information</t>
  </si>
  <si>
    <t>Requirement</t>
  </si>
  <si>
    <t>Instruction</t>
  </si>
  <si>
    <t>Project Submission Deadline</t>
  </si>
  <si>
    <t>Submit complete assignment on or before 5 September 2026.</t>
  </si>
  <si>
    <t>Submission Method</t>
  </si>
  <si>
    <t>Submit final GitHub repository link in Google Classroom; attach additional documents only if instructed by trainer.</t>
  </si>
  <si>
    <t>Completeness</t>
  </si>
  <si>
    <t>All mandatory deliverables must be completed.</t>
  </si>
  <si>
    <t>Original Work</t>
  </si>
  <si>
    <t>Do not copy/paste another student's/public/AI-generated repository without your own analysis and validation. You must understand and explain the submitted work.</t>
  </si>
  <si>
    <t>Project Mock / Review</t>
  </si>
  <si>
    <t>6 September 2026.</t>
  </si>
  <si>
    <t>Reporting Time</t>
  </si>
  <si>
    <t>3:30 PM on 6 September 2026.</t>
  </si>
  <si>
    <t>Readiness</t>
  </si>
  <si>
    <t>Keep complete project, Jira records and GitHub repository ready for review.</t>
  </si>
  <si>
    <t>Student Name</t>
  </si>
  <si>
    <t>________________________________________</t>
  </si>
  <si>
    <t>GitHub Repository Link</t>
  </si>
  <si>
    <t>Submission Date</t>
  </si>
  <si>
    <t>Valid credentials were accepted and the Products/inventory page was displayed.</t>
  </si>
  <si>
    <t>Login was rejected and the username/password mismatch error was displayed.</t>
  </si>
  <si>
    <t>Required-field validation was displayed and the user remained on the current form.</t>
  </si>
  <si>
    <t>Username required validation was displayed; login/continue did not proceed.</t>
  </si>
  <si>
    <t>Password required validation was displayed; login did not proceed.</t>
  </si>
  <si>
    <t>Login was blocked and the locked-user error message was displayed.</t>
  </si>
  <si>
    <t>The padded username was not accepted as the valid username; login was rejected.</t>
  </si>
  <si>
    <t>Logout returned the user to the login page.</t>
  </si>
  <si>
    <t>Inventory page loaded and the product listing was displayed.</t>
  </si>
  <si>
    <t>Product cards displayed product name, description, price and image.</t>
  </si>
  <si>
    <t>Products were displayed in ascending alphabetical order by name.</t>
  </si>
  <si>
    <t>Products were displayed in descending alphabetical order by name.</t>
  </si>
  <si>
    <t>Products were displayed from lowest to highest price.</t>
  </si>
  <si>
    <t>Products were displayed from highest to lowest price.</t>
  </si>
  <si>
    <t>The selected product detail page opened and matched the selected product.</t>
  </si>
  <si>
    <t>Labels and controls were readable and navigation was consistent during the check.</t>
  </si>
  <si>
    <t>Inventory page reloaded successfully and the authenticated application state remained available.</t>
  </si>
  <si>
    <t>The selected product was added to the cart and appeared in the cart.</t>
  </si>
  <si>
    <t>Cart badge displayed 1 selected item.</t>
  </si>
  <si>
    <t>The selected product was removed and the cart count/state updated.</t>
  </si>
  <si>
    <t>Both selected products appeared in the cart.</t>
  </si>
  <si>
    <t>Cart badge reflected the number of selected products.</t>
  </si>
  <si>
    <t>Product name and price matched between inventory and cart.</t>
  </si>
  <si>
    <t>Continue Shopping returned the user to the inventory page.</t>
  </si>
  <si>
    <t>Only the selected item was removed; the remaining item stayed in the cart and the count updated.</t>
  </si>
  <si>
    <t>Cart page opened and the selected item was displayed.</t>
  </si>
  <si>
    <t>Reset App State cleared the selected cart/application state.</t>
  </si>
  <si>
    <t>Checkout customer-information page opened successfully.</t>
  </si>
  <si>
    <t>Valid customer information was accepted and the checkout overview opened.</t>
  </si>
  <si>
    <t>First-name required validation was displayed and checkout did not proceed.</t>
  </si>
  <si>
    <t>Last-name required validation was displayed and checkout did not proceed.</t>
  </si>
  <si>
    <t>Postal-code required validation was displayed and checkout did not proceed.</t>
  </si>
  <si>
    <t>The representative postal value was accepted by the form and checkout proceeded; the field does not enforce a strict postal-code format.</t>
  </si>
  <si>
    <t>A one-character name was accepted and the form proceeded with valid remaining data.</t>
  </si>
  <si>
    <t>Long fictional name input was accepted without an unexpected application error.</t>
  </si>
  <si>
    <t>Representative special characters were accepted by the form without an unexpected application error.</t>
  </si>
  <si>
    <t>The selected product was listed on the checkout overview.</t>
  </si>
  <si>
    <t>All selected products were listed on the checkout overview.</t>
  </si>
  <si>
    <t>Overview item prices matched the corresponding cart prices.</t>
  </si>
  <si>
    <t>Displayed subtotal matched the sum of selected item prices.</t>
  </si>
  <si>
    <t>Tax and total were displayed; total matched subtotal plus tax.</t>
  </si>
  <si>
    <t>Cancel navigated away from the checkout overview as implemented.</t>
  </si>
  <si>
    <t>Finish completed the order and displayed the order-completion page.</t>
  </si>
  <si>
    <t>Order-completion confirmation message was displayed.</t>
  </si>
  <si>
    <t>Available post-order navigation returned to an appropriate application page.</t>
  </si>
  <si>
    <t>The complete login-to-order flow completed successfully and an order confirmation was displayed.</t>
  </si>
  <si>
    <t>The hamburger menu opened and closed correctly.</t>
  </si>
  <si>
    <t>All Items returned the user to the inventory/products page.</t>
  </si>
  <si>
    <t>Core controls remained visible and usable through the purchase flow.</t>
  </si>
  <si>
    <t>Vinit Hadse</t>
  </si>
  <si>
    <t>04-Sep-2026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</si>
</sst>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sz val="16"/>
      <color rgb="FFFFFFFF"/>
      <name val="Calibri"/>
      <family val="2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3F6F9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0" fontId="0" fillId="0" borderId="1" xfId="0" applyNumberFormat="1" applyBorder="1" applyAlignment="1">
      <alignment vertical="top" wrapText="1"/>
    </xf>
    <xf numFmtId="10" fontId="0" fillId="3" borderId="1" xfId="0" applyNumberForma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Border="1"/>
    <xf numFmtId="0" fontId="4" fillId="2" borderId="2" xfId="0" applyFont="1" applyFill="1" applyBorder="1" applyAlignment="1">
      <alignment vertical="top" wrapText="1"/>
    </xf>
    <xf numFmtId="0" fontId="0" fillId="3" borderId="2" xfId="0" applyFont="1" applyFill="1" applyBorder="1" applyAlignment="1">
      <alignment vertical="top" wrapText="1"/>
    </xf>
    <xf numFmtId="0" fontId="0" fillId="0" borderId="2" xfId="0" applyFont="1" applyBorder="1" applyAlignment="1"/>
    <xf numFmtId="0" fontId="0" fillId="0" borderId="2" xfId="0" applyFont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0" fillId="0" borderId="2" xfId="0" applyBorder="1"/>
    <xf numFmtId="0" fontId="3" fillId="2" borderId="2" xfId="0" applyFont="1" applyFill="1" applyBorder="1" applyAlignment="1">
      <alignment vertical="top" wrapText="1"/>
    </xf>
    <xf numFmtId="0" fontId="0" fillId="0" borderId="2" xfId="0" applyFont="1" applyBorder="1"/>
    <xf numFmtId="0" fontId="1" fillId="2" borderId="0" xfId="0" applyFont="1" applyFill="1" applyAlignment="1">
      <alignment vertical="top" wrapText="1"/>
    </xf>
    <xf numFmtId="0" fontId="0" fillId="0" borderId="0" xfId="0"/>
  </cellXfs>
  <cellStyles count="1">
    <cellStyle name="Normal" xfId="0" builtinId="0"/>
  </cellStyles>
  <dxfs count="5"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8"/>
  <sheetViews>
    <sheetView showGridLines="0" zoomScaleNormal="100" workbookViewId="0">
      <pane ySplit="1" topLeftCell="A2" activePane="bottomLeft" state="frozen"/>
      <selection pane="bottomLeft" sqref="A1:E1"/>
    </sheetView>
  </sheetViews>
  <sheetFormatPr defaultRowHeight="15" x14ac:dyDescent="0.25"/>
  <cols>
    <col min="1" max="1" width="5.5703125" customWidth="1"/>
    <col min="2" max="2" width="35.140625" customWidth="1"/>
    <col min="3" max="3" width="87" customWidth="1"/>
    <col min="4" max="4" width="15" customWidth="1"/>
    <col min="5" max="5" width="8.140625" customWidth="1"/>
  </cols>
  <sheetData>
    <row r="1" spans="1:5" ht="27.95" customHeight="1" x14ac:dyDescent="0.25">
      <c r="A1" s="14" t="s">
        <v>0</v>
      </c>
      <c r="B1" s="15"/>
      <c r="C1" s="15"/>
      <c r="D1" s="15"/>
      <c r="E1" s="15"/>
    </row>
    <row r="2" spans="1:5" ht="33.950000000000003" customHeight="1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45" x14ac:dyDescent="0.25">
      <c r="A3" s="7">
        <v>1</v>
      </c>
      <c r="B3" s="7" t="s">
        <v>6</v>
      </c>
      <c r="C3" s="7" t="s">
        <v>7</v>
      </c>
      <c r="D3" s="7" t="s">
        <v>8</v>
      </c>
      <c r="E3" s="7"/>
    </row>
    <row r="4" spans="1:5" x14ac:dyDescent="0.25">
      <c r="A4" s="8">
        <v>2</v>
      </c>
      <c r="B4" s="8" t="s">
        <v>9</v>
      </c>
      <c r="C4" s="8" t="s">
        <v>10</v>
      </c>
      <c r="D4" s="8" t="s">
        <v>8</v>
      </c>
      <c r="E4" s="8"/>
    </row>
    <row r="5" spans="1:5" x14ac:dyDescent="0.25">
      <c r="A5" s="7">
        <v>3</v>
      </c>
      <c r="B5" s="7" t="s">
        <v>11</v>
      </c>
      <c r="C5" s="7" t="s">
        <v>12</v>
      </c>
      <c r="D5" s="7" t="s">
        <v>8</v>
      </c>
      <c r="E5" s="7"/>
    </row>
    <row r="6" spans="1:5" ht="30" x14ac:dyDescent="0.25">
      <c r="A6" s="8">
        <v>4</v>
      </c>
      <c r="B6" s="8" t="s">
        <v>13</v>
      </c>
      <c r="C6" s="8" t="s">
        <v>14</v>
      </c>
      <c r="D6" s="8" t="s">
        <v>8</v>
      </c>
      <c r="E6" s="8"/>
    </row>
    <row r="7" spans="1:5" ht="30" x14ac:dyDescent="0.25">
      <c r="A7" s="7">
        <v>5</v>
      </c>
      <c r="B7" s="7" t="s">
        <v>15</v>
      </c>
      <c r="C7" s="7" t="s">
        <v>16</v>
      </c>
      <c r="D7" s="7" t="s">
        <v>8</v>
      </c>
      <c r="E7" s="7"/>
    </row>
    <row r="8" spans="1:5" ht="30" x14ac:dyDescent="0.25">
      <c r="A8" s="8">
        <v>6</v>
      </c>
      <c r="B8" s="8" t="s">
        <v>17</v>
      </c>
      <c r="C8" s="8" t="s">
        <v>18</v>
      </c>
      <c r="D8" s="8" t="s">
        <v>8</v>
      </c>
      <c r="E8" s="8"/>
    </row>
    <row r="9" spans="1:5" ht="30" x14ac:dyDescent="0.25">
      <c r="A9" s="7">
        <v>7</v>
      </c>
      <c r="B9" s="7" t="s">
        <v>19</v>
      </c>
      <c r="C9" s="7" t="s">
        <v>20</v>
      </c>
      <c r="D9" s="7" t="s">
        <v>8</v>
      </c>
      <c r="E9" s="7"/>
    </row>
    <row r="10" spans="1:5" ht="30" x14ac:dyDescent="0.25">
      <c r="A10" s="8">
        <v>8</v>
      </c>
      <c r="B10" s="8" t="s">
        <v>21</v>
      </c>
      <c r="C10" s="8" t="s">
        <v>22</v>
      </c>
      <c r="D10" s="8" t="s">
        <v>8</v>
      </c>
      <c r="E10" s="8"/>
    </row>
    <row r="11" spans="1:5" ht="30" x14ac:dyDescent="0.25">
      <c r="A11" s="7">
        <v>9</v>
      </c>
      <c r="B11" s="7" t="s">
        <v>23</v>
      </c>
      <c r="C11" s="7" t="s">
        <v>24</v>
      </c>
      <c r="D11" s="7" t="s">
        <v>8</v>
      </c>
      <c r="E11" s="7"/>
    </row>
    <row r="12" spans="1:5" ht="30" x14ac:dyDescent="0.25">
      <c r="A12" s="8">
        <v>10</v>
      </c>
      <c r="B12" s="8" t="s">
        <v>25</v>
      </c>
      <c r="C12" s="8" t="s">
        <v>26</v>
      </c>
      <c r="D12" s="8" t="s">
        <v>8</v>
      </c>
      <c r="E12" s="8"/>
    </row>
    <row r="13" spans="1:5" ht="30" x14ac:dyDescent="0.25">
      <c r="A13" s="7">
        <v>11</v>
      </c>
      <c r="B13" s="7" t="s">
        <v>27</v>
      </c>
      <c r="C13" s="7" t="s">
        <v>28</v>
      </c>
      <c r="D13" s="7" t="s">
        <v>8</v>
      </c>
      <c r="E13" s="7"/>
    </row>
    <row r="14" spans="1:5" x14ac:dyDescent="0.25">
      <c r="A14" s="8">
        <v>12</v>
      </c>
      <c r="B14" s="8" t="s">
        <v>29</v>
      </c>
      <c r="C14" s="8" t="s">
        <v>30</v>
      </c>
      <c r="D14" s="8" t="s">
        <v>8</v>
      </c>
      <c r="E14" s="8"/>
    </row>
    <row r="15" spans="1:5" x14ac:dyDescent="0.25">
      <c r="A15" s="7">
        <v>13</v>
      </c>
      <c r="B15" s="7" t="s">
        <v>31</v>
      </c>
      <c r="C15" s="7" t="s">
        <v>32</v>
      </c>
      <c r="D15" s="7" t="s">
        <v>8</v>
      </c>
      <c r="E15" s="7"/>
    </row>
    <row r="16" spans="1:5" x14ac:dyDescent="0.25">
      <c r="A16" s="8">
        <v>14</v>
      </c>
      <c r="B16" s="8" t="s">
        <v>33</v>
      </c>
      <c r="C16" s="8" t="s">
        <v>34</v>
      </c>
      <c r="D16" s="8" t="s">
        <v>8</v>
      </c>
      <c r="E16" s="8"/>
    </row>
    <row r="17" spans="1:5" x14ac:dyDescent="0.25">
      <c r="A17" s="7">
        <v>15</v>
      </c>
      <c r="B17" s="7" t="s">
        <v>35</v>
      </c>
      <c r="C17" s="7" t="s">
        <v>36</v>
      </c>
      <c r="D17" s="7" t="s">
        <v>8</v>
      </c>
      <c r="E17" s="7"/>
    </row>
    <row r="18" spans="1:5" x14ac:dyDescent="0.25">
      <c r="A18" s="8">
        <v>16</v>
      </c>
      <c r="B18" s="8" t="s">
        <v>37</v>
      </c>
      <c r="C18" s="8" t="s">
        <v>38</v>
      </c>
      <c r="D18" s="8" t="s">
        <v>8</v>
      </c>
      <c r="E18" s="8"/>
    </row>
  </sheetData>
  <autoFilter ref="A3:E18"/>
  <mergeCells count="1">
    <mergeCell ref="A1:E1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4"/>
  <sheetViews>
    <sheetView showGridLines="0" workbookViewId="0">
      <pane ySplit="1" topLeftCell="A16" activePane="bottomLeft" state="frozen"/>
      <selection pane="bottomLeft" activeCell="B25" sqref="B25"/>
    </sheetView>
  </sheetViews>
  <sheetFormatPr defaultRowHeight="15" x14ac:dyDescent="0.25"/>
  <cols>
    <col min="1" max="1" width="22.7109375" customWidth="1"/>
    <col min="2" max="2" width="84.5703125" customWidth="1"/>
  </cols>
  <sheetData>
    <row r="1" spans="1:2" ht="27.95" customHeight="1" x14ac:dyDescent="0.25">
      <c r="A1" s="14" t="s">
        <v>39</v>
      </c>
      <c r="B1" s="15"/>
    </row>
    <row r="2" spans="1:2" ht="33.950000000000003" customHeight="1" x14ac:dyDescent="0.25">
      <c r="A2" s="6" t="s">
        <v>40</v>
      </c>
      <c r="B2" s="6" t="s">
        <v>41</v>
      </c>
    </row>
    <row r="3" spans="1:2" x14ac:dyDescent="0.25">
      <c r="A3" s="7" t="s">
        <v>42</v>
      </c>
      <c r="B3" s="7" t="s">
        <v>43</v>
      </c>
    </row>
    <row r="4" spans="1:2" x14ac:dyDescent="0.25">
      <c r="A4" s="8" t="s">
        <v>44</v>
      </c>
      <c r="B4" s="8" t="s">
        <v>45</v>
      </c>
    </row>
    <row r="5" spans="1:2" x14ac:dyDescent="0.25">
      <c r="A5" s="7" t="s">
        <v>46</v>
      </c>
      <c r="B5" s="7" t="s">
        <v>47</v>
      </c>
    </row>
    <row r="6" spans="1:2" x14ac:dyDescent="0.25">
      <c r="A6" s="8" t="s">
        <v>48</v>
      </c>
      <c r="B6" s="8" t="s">
        <v>49</v>
      </c>
    </row>
    <row r="7" spans="1:2" x14ac:dyDescent="0.25">
      <c r="A7" s="7" t="s">
        <v>50</v>
      </c>
      <c r="B7" s="7" t="s">
        <v>51</v>
      </c>
    </row>
    <row r="8" spans="1:2" ht="30" x14ac:dyDescent="0.25">
      <c r="A8" s="8" t="s">
        <v>52</v>
      </c>
      <c r="B8" s="8" t="s">
        <v>53</v>
      </c>
    </row>
    <row r="9" spans="1:2" ht="30" x14ac:dyDescent="0.25">
      <c r="A9" s="7" t="s">
        <v>54</v>
      </c>
      <c r="B9" s="7" t="s">
        <v>55</v>
      </c>
    </row>
    <row r="10" spans="1:2" ht="30" x14ac:dyDescent="0.25">
      <c r="A10" s="8" t="s">
        <v>56</v>
      </c>
      <c r="B10" s="8" t="s">
        <v>57</v>
      </c>
    </row>
    <row r="11" spans="1:2" ht="30" x14ac:dyDescent="0.25">
      <c r="A11" s="7" t="s">
        <v>58</v>
      </c>
      <c r="B11" s="7" t="s">
        <v>59</v>
      </c>
    </row>
    <row r="12" spans="1:2" ht="30" x14ac:dyDescent="0.25">
      <c r="A12" s="8" t="s">
        <v>60</v>
      </c>
      <c r="B12" s="8" t="s">
        <v>61</v>
      </c>
    </row>
    <row r="13" spans="1:2" ht="30" x14ac:dyDescent="0.25">
      <c r="A13" s="7" t="s">
        <v>62</v>
      </c>
      <c r="B13" s="7" t="s">
        <v>63</v>
      </c>
    </row>
    <row r="14" spans="1:2" ht="30" x14ac:dyDescent="0.25">
      <c r="A14" s="8" t="s">
        <v>64</v>
      </c>
      <c r="B14" s="8" t="s">
        <v>65</v>
      </c>
    </row>
    <row r="15" spans="1:2" ht="30" x14ac:dyDescent="0.25">
      <c r="A15" s="7" t="s">
        <v>66</v>
      </c>
      <c r="B15" s="7" t="s">
        <v>67</v>
      </c>
    </row>
    <row r="16" spans="1:2" ht="30" x14ac:dyDescent="0.25">
      <c r="A16" s="8" t="s">
        <v>68</v>
      </c>
      <c r="B16" s="8" t="s">
        <v>69</v>
      </c>
    </row>
    <row r="17" spans="1:2" ht="45" x14ac:dyDescent="0.25">
      <c r="A17" s="7" t="s">
        <v>70</v>
      </c>
      <c r="B17" s="7" t="s">
        <v>71</v>
      </c>
    </row>
    <row r="18" spans="1:2" ht="30" x14ac:dyDescent="0.25">
      <c r="A18" s="8" t="s">
        <v>72</v>
      </c>
      <c r="B18" s="8" t="s">
        <v>73</v>
      </c>
    </row>
    <row r="19" spans="1:2" ht="30" x14ac:dyDescent="0.25">
      <c r="A19" s="7" t="s">
        <v>74</v>
      </c>
      <c r="B19" s="7" t="s">
        <v>75</v>
      </c>
    </row>
    <row r="20" spans="1:2" ht="30" x14ac:dyDescent="0.25">
      <c r="A20" s="8" t="s">
        <v>76</v>
      </c>
      <c r="B20" s="8" t="s">
        <v>77</v>
      </c>
    </row>
    <row r="21" spans="1:2" ht="30" x14ac:dyDescent="0.25">
      <c r="A21" s="7" t="s">
        <v>78</v>
      </c>
      <c r="B21" s="7" t="s">
        <v>79</v>
      </c>
    </row>
    <row r="22" spans="1:2" ht="30" x14ac:dyDescent="0.25">
      <c r="A22" s="8" t="s">
        <v>80</v>
      </c>
      <c r="B22" s="8" t="s">
        <v>81</v>
      </c>
    </row>
    <row r="23" spans="1:2" ht="30" x14ac:dyDescent="0.25">
      <c r="A23" s="7" t="s">
        <v>82</v>
      </c>
      <c r="B23" s="7" t="s">
        <v>83</v>
      </c>
    </row>
    <row r="24" spans="1:2" ht="30" x14ac:dyDescent="0.25">
      <c r="A24" s="8" t="s">
        <v>84</v>
      </c>
      <c r="B24" s="8" t="s">
        <v>85</v>
      </c>
    </row>
  </sheetData>
  <autoFilter ref="A3:B24"/>
  <mergeCells count="1">
    <mergeCell ref="A1:B1"/>
  </mergeCell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7"/>
  <sheetViews>
    <sheetView showGridLines="0" workbookViewId="0">
      <pane ySplit="1" topLeftCell="A11" activePane="bottomLeft" state="frozen"/>
      <selection pane="bottomLeft" activeCell="B22" sqref="B22"/>
    </sheetView>
  </sheetViews>
  <sheetFormatPr defaultRowHeight="15" x14ac:dyDescent="0.25"/>
  <cols>
    <col min="1" max="1" width="16.85546875" customWidth="1"/>
    <col min="2" max="2" width="18.5703125" customWidth="1"/>
    <col min="3" max="3" width="58.140625" customWidth="1"/>
  </cols>
  <sheetData>
    <row r="1" spans="1:3" ht="27.95" customHeight="1" x14ac:dyDescent="0.25">
      <c r="A1" s="14" t="s">
        <v>86</v>
      </c>
      <c r="B1" s="15"/>
      <c r="C1" s="15"/>
    </row>
    <row r="2" spans="1:3" ht="33.950000000000003" customHeight="1" x14ac:dyDescent="0.25">
      <c r="A2" s="6" t="s">
        <v>87</v>
      </c>
      <c r="B2" s="6" t="s">
        <v>88</v>
      </c>
      <c r="C2" s="6" t="s">
        <v>89</v>
      </c>
    </row>
    <row r="3" spans="1:3" x14ac:dyDescent="0.25">
      <c r="A3" s="7" t="s">
        <v>90</v>
      </c>
      <c r="B3" s="7" t="s">
        <v>91</v>
      </c>
      <c r="C3" s="7" t="s">
        <v>92</v>
      </c>
    </row>
    <row r="4" spans="1:3" x14ac:dyDescent="0.25">
      <c r="A4" s="8" t="s">
        <v>93</v>
      </c>
      <c r="B4" s="8" t="s">
        <v>91</v>
      </c>
      <c r="C4" s="8" t="s">
        <v>94</v>
      </c>
    </row>
    <row r="5" spans="1:3" x14ac:dyDescent="0.25">
      <c r="A5" s="7" t="s">
        <v>95</v>
      </c>
      <c r="B5" s="7" t="s">
        <v>91</v>
      </c>
      <c r="C5" s="7" t="s">
        <v>96</v>
      </c>
    </row>
    <row r="6" spans="1:3" x14ac:dyDescent="0.25">
      <c r="A6" s="8" t="s">
        <v>97</v>
      </c>
      <c r="B6" s="8" t="s">
        <v>91</v>
      </c>
      <c r="C6" s="8" t="s">
        <v>98</v>
      </c>
    </row>
    <row r="7" spans="1:3" x14ac:dyDescent="0.25">
      <c r="A7" s="7" t="s">
        <v>99</v>
      </c>
      <c r="B7" s="7" t="s">
        <v>91</v>
      </c>
      <c r="C7" s="7" t="s">
        <v>100</v>
      </c>
    </row>
    <row r="8" spans="1:3" x14ac:dyDescent="0.25">
      <c r="A8" s="8" t="s">
        <v>101</v>
      </c>
      <c r="B8" s="8" t="s">
        <v>102</v>
      </c>
      <c r="C8" s="8" t="s">
        <v>103</v>
      </c>
    </row>
    <row r="9" spans="1:3" x14ac:dyDescent="0.25">
      <c r="A9" s="7" t="s">
        <v>104</v>
      </c>
      <c r="B9" s="7" t="s">
        <v>102</v>
      </c>
      <c r="C9" s="7" t="s">
        <v>105</v>
      </c>
    </row>
    <row r="10" spans="1:3" x14ac:dyDescent="0.25">
      <c r="A10" s="8" t="s">
        <v>106</v>
      </c>
      <c r="B10" s="8" t="s">
        <v>102</v>
      </c>
      <c r="C10" s="8" t="s">
        <v>107</v>
      </c>
    </row>
    <row r="11" spans="1:3" x14ac:dyDescent="0.25">
      <c r="A11" s="7" t="s">
        <v>108</v>
      </c>
      <c r="B11" s="7" t="s">
        <v>102</v>
      </c>
      <c r="C11" s="7" t="s">
        <v>109</v>
      </c>
    </row>
    <row r="12" spans="1:3" x14ac:dyDescent="0.25">
      <c r="A12" s="8" t="s">
        <v>110</v>
      </c>
      <c r="B12" s="8" t="s">
        <v>111</v>
      </c>
      <c r="C12" s="8" t="s">
        <v>112</v>
      </c>
    </row>
    <row r="13" spans="1:3" x14ac:dyDescent="0.25">
      <c r="A13" s="7" t="s">
        <v>113</v>
      </c>
      <c r="B13" s="7" t="s">
        <v>111</v>
      </c>
      <c r="C13" s="7" t="s">
        <v>114</v>
      </c>
    </row>
    <row r="14" spans="1:3" x14ac:dyDescent="0.25">
      <c r="A14" s="8" t="s">
        <v>115</v>
      </c>
      <c r="B14" s="8" t="s">
        <v>111</v>
      </c>
      <c r="C14" s="8" t="s">
        <v>116</v>
      </c>
    </row>
    <row r="15" spans="1:3" x14ac:dyDescent="0.25">
      <c r="A15" s="7" t="s">
        <v>117</v>
      </c>
      <c r="B15" s="7" t="s">
        <v>111</v>
      </c>
      <c r="C15" s="7" t="s">
        <v>118</v>
      </c>
    </row>
    <row r="16" spans="1:3" x14ac:dyDescent="0.25">
      <c r="A16" s="8" t="s">
        <v>119</v>
      </c>
      <c r="B16" s="8" t="s">
        <v>111</v>
      </c>
      <c r="C16" s="8" t="s">
        <v>120</v>
      </c>
    </row>
    <row r="17" spans="1:3" x14ac:dyDescent="0.25">
      <c r="A17" s="7" t="s">
        <v>121</v>
      </c>
      <c r="B17" s="7" t="s">
        <v>122</v>
      </c>
      <c r="C17" s="7" t="s">
        <v>123</v>
      </c>
    </row>
    <row r="18" spans="1:3" x14ac:dyDescent="0.25">
      <c r="A18" s="8" t="s">
        <v>124</v>
      </c>
      <c r="B18" s="8" t="s">
        <v>122</v>
      </c>
      <c r="C18" s="8" t="s">
        <v>125</v>
      </c>
    </row>
    <row r="19" spans="1:3" x14ac:dyDescent="0.25">
      <c r="A19" s="7" t="s">
        <v>126</v>
      </c>
      <c r="B19" s="7" t="s">
        <v>122</v>
      </c>
      <c r="C19" s="7" t="s">
        <v>127</v>
      </c>
    </row>
    <row r="20" spans="1:3" x14ac:dyDescent="0.25">
      <c r="A20" s="8" t="s">
        <v>128</v>
      </c>
      <c r="B20" s="8" t="s">
        <v>129</v>
      </c>
      <c r="C20" s="8" t="s">
        <v>130</v>
      </c>
    </row>
    <row r="21" spans="1:3" x14ac:dyDescent="0.25">
      <c r="A21" s="7" t="s">
        <v>131</v>
      </c>
      <c r="B21" s="7" t="s">
        <v>129</v>
      </c>
      <c r="C21" s="7" t="s">
        <v>132</v>
      </c>
    </row>
    <row r="22" spans="1:3" x14ac:dyDescent="0.25">
      <c r="A22" s="8" t="s">
        <v>133</v>
      </c>
      <c r="B22" s="8" t="s">
        <v>129</v>
      </c>
      <c r="C22" s="8" t="s">
        <v>134</v>
      </c>
    </row>
    <row r="23" spans="1:3" x14ac:dyDescent="0.25">
      <c r="A23" s="7" t="s">
        <v>135</v>
      </c>
      <c r="B23" s="7" t="s">
        <v>136</v>
      </c>
      <c r="C23" s="7" t="s">
        <v>137</v>
      </c>
    </row>
    <row r="24" spans="1:3" x14ac:dyDescent="0.25">
      <c r="A24" s="8" t="s">
        <v>138</v>
      </c>
      <c r="B24" s="8" t="s">
        <v>136</v>
      </c>
      <c r="C24" s="8" t="s">
        <v>139</v>
      </c>
    </row>
    <row r="25" spans="1:3" x14ac:dyDescent="0.25">
      <c r="A25" s="7" t="s">
        <v>140</v>
      </c>
      <c r="B25" s="7" t="s">
        <v>141</v>
      </c>
      <c r="C25" s="7" t="s">
        <v>142</v>
      </c>
    </row>
    <row r="26" spans="1:3" x14ac:dyDescent="0.25">
      <c r="A26" s="8" t="s">
        <v>143</v>
      </c>
      <c r="B26" s="8" t="s">
        <v>141</v>
      </c>
      <c r="C26" s="8" t="s">
        <v>144</v>
      </c>
    </row>
    <row r="27" spans="1:3" x14ac:dyDescent="0.25">
      <c r="A27" s="7" t="s">
        <v>145</v>
      </c>
      <c r="B27" s="7" t="s">
        <v>146</v>
      </c>
      <c r="C27" s="7" t="s">
        <v>147</v>
      </c>
    </row>
  </sheetData>
  <autoFilter ref="A3:C27"/>
  <mergeCells count="1">
    <mergeCell ref="A1:C1"/>
  </mergeCells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showGridLines="0" workbookViewId="0">
      <pane ySplit="1" topLeftCell="A2" activePane="bottomLeft" state="frozen"/>
      <selection pane="bottomLeft" sqref="A1:F1"/>
    </sheetView>
  </sheetViews>
  <sheetFormatPr defaultRowHeight="15" x14ac:dyDescent="0.25"/>
  <cols>
    <col min="1" max="1" width="18" customWidth="1"/>
    <col min="2" max="2" width="17.28515625" customWidth="1"/>
    <col min="3" max="3" width="69.140625" customWidth="1"/>
    <col min="4" max="4" width="10.42578125" customWidth="1"/>
    <col min="5" max="5" width="8.42578125" customWidth="1"/>
    <col min="6" max="6" width="16.85546875" customWidth="1"/>
  </cols>
  <sheetData>
    <row r="1" spans="1:6" ht="27.95" customHeight="1" x14ac:dyDescent="0.25">
      <c r="A1" s="14" t="s">
        <v>148</v>
      </c>
      <c r="B1" s="15"/>
      <c r="C1" s="15"/>
      <c r="D1" s="15"/>
      <c r="E1" s="15"/>
      <c r="F1" s="15"/>
    </row>
    <row r="2" spans="1:6" ht="33.950000000000003" customHeight="1" x14ac:dyDescent="0.25">
      <c r="A2" s="6" t="s">
        <v>149</v>
      </c>
      <c r="B2" s="6" t="s">
        <v>88</v>
      </c>
      <c r="C2" s="6" t="s">
        <v>150</v>
      </c>
      <c r="D2" s="6" t="s">
        <v>151</v>
      </c>
      <c r="E2" s="6" t="s">
        <v>152</v>
      </c>
      <c r="F2" s="6" t="s">
        <v>87</v>
      </c>
    </row>
    <row r="3" spans="1:6" x14ac:dyDescent="0.25">
      <c r="A3" s="7" t="s">
        <v>153</v>
      </c>
      <c r="B3" s="7" t="s">
        <v>91</v>
      </c>
      <c r="C3" s="7" t="s">
        <v>154</v>
      </c>
      <c r="D3" s="7" t="s">
        <v>155</v>
      </c>
      <c r="E3" s="7" t="s">
        <v>156</v>
      </c>
      <c r="F3" s="7" t="s">
        <v>90</v>
      </c>
    </row>
    <row r="4" spans="1:6" x14ac:dyDescent="0.25">
      <c r="A4" s="8" t="s">
        <v>157</v>
      </c>
      <c r="B4" s="8" t="s">
        <v>91</v>
      </c>
      <c r="C4" s="8" t="s">
        <v>158</v>
      </c>
      <c r="D4" s="8" t="s">
        <v>159</v>
      </c>
      <c r="E4" s="8" t="s">
        <v>156</v>
      </c>
      <c r="F4" s="8" t="s">
        <v>93</v>
      </c>
    </row>
    <row r="5" spans="1:6" x14ac:dyDescent="0.25">
      <c r="A5" s="7" t="s">
        <v>160</v>
      </c>
      <c r="B5" s="7" t="s">
        <v>91</v>
      </c>
      <c r="C5" s="7" t="s">
        <v>161</v>
      </c>
      <c r="D5" s="7" t="s">
        <v>159</v>
      </c>
      <c r="E5" s="7" t="s">
        <v>156</v>
      </c>
      <c r="F5" s="7" t="s">
        <v>93</v>
      </c>
    </row>
    <row r="6" spans="1:6" x14ac:dyDescent="0.25">
      <c r="A6" s="8" t="s">
        <v>162</v>
      </c>
      <c r="B6" s="8" t="s">
        <v>91</v>
      </c>
      <c r="C6" s="8" t="s">
        <v>163</v>
      </c>
      <c r="D6" s="8" t="s">
        <v>159</v>
      </c>
      <c r="E6" s="8" t="s">
        <v>156</v>
      </c>
      <c r="F6" s="8" t="s">
        <v>97</v>
      </c>
    </row>
    <row r="7" spans="1:6" x14ac:dyDescent="0.25">
      <c r="A7" s="7" t="s">
        <v>164</v>
      </c>
      <c r="B7" s="7" t="s">
        <v>91</v>
      </c>
      <c r="C7" s="7" t="s">
        <v>165</v>
      </c>
      <c r="D7" s="7" t="s">
        <v>159</v>
      </c>
      <c r="E7" s="7" t="s">
        <v>156</v>
      </c>
      <c r="F7" s="7" t="s">
        <v>95</v>
      </c>
    </row>
    <row r="8" spans="1:6" x14ac:dyDescent="0.25">
      <c r="A8" s="8" t="s">
        <v>166</v>
      </c>
      <c r="B8" s="8" t="s">
        <v>91</v>
      </c>
      <c r="C8" s="8" t="s">
        <v>167</v>
      </c>
      <c r="D8" s="8" t="s">
        <v>155</v>
      </c>
      <c r="E8" s="8" t="s">
        <v>156</v>
      </c>
      <c r="F8" s="8" t="s">
        <v>99</v>
      </c>
    </row>
    <row r="9" spans="1:6" x14ac:dyDescent="0.25">
      <c r="A9" s="7" t="s">
        <v>168</v>
      </c>
      <c r="B9" s="7" t="s">
        <v>102</v>
      </c>
      <c r="C9" s="7" t="s">
        <v>169</v>
      </c>
      <c r="D9" s="7" t="s">
        <v>155</v>
      </c>
      <c r="E9" s="7" t="s">
        <v>156</v>
      </c>
      <c r="F9" s="7" t="s">
        <v>101</v>
      </c>
    </row>
    <row r="10" spans="1:6" x14ac:dyDescent="0.25">
      <c r="A10" s="8" t="s">
        <v>170</v>
      </c>
      <c r="B10" s="8" t="s">
        <v>102</v>
      </c>
      <c r="C10" s="8" t="s">
        <v>171</v>
      </c>
      <c r="D10" s="8" t="s">
        <v>155</v>
      </c>
      <c r="E10" s="8" t="s">
        <v>172</v>
      </c>
      <c r="F10" s="8" t="s">
        <v>104</v>
      </c>
    </row>
    <row r="11" spans="1:6" x14ac:dyDescent="0.25">
      <c r="A11" s="7" t="s">
        <v>173</v>
      </c>
      <c r="B11" s="7" t="s">
        <v>102</v>
      </c>
      <c r="C11" s="7" t="s">
        <v>174</v>
      </c>
      <c r="D11" s="7" t="s">
        <v>155</v>
      </c>
      <c r="E11" s="7" t="s">
        <v>172</v>
      </c>
      <c r="F11" s="7" t="s">
        <v>106</v>
      </c>
    </row>
    <row r="12" spans="1:6" x14ac:dyDescent="0.25">
      <c r="A12" s="8" t="s">
        <v>175</v>
      </c>
      <c r="B12" s="8" t="s">
        <v>102</v>
      </c>
      <c r="C12" s="8" t="s">
        <v>176</v>
      </c>
      <c r="D12" s="8" t="s">
        <v>155</v>
      </c>
      <c r="E12" s="8" t="s">
        <v>172</v>
      </c>
      <c r="F12" s="8" t="s">
        <v>108</v>
      </c>
    </row>
    <row r="13" spans="1:6" x14ac:dyDescent="0.25">
      <c r="A13" s="7" t="s">
        <v>177</v>
      </c>
      <c r="B13" s="7" t="s">
        <v>111</v>
      </c>
      <c r="C13" s="7" t="s">
        <v>178</v>
      </c>
      <c r="D13" s="7" t="s">
        <v>155</v>
      </c>
      <c r="E13" s="7" t="s">
        <v>156</v>
      </c>
      <c r="F13" s="7" t="s">
        <v>110</v>
      </c>
    </row>
    <row r="14" spans="1:6" x14ac:dyDescent="0.25">
      <c r="A14" s="8" t="s">
        <v>179</v>
      </c>
      <c r="B14" s="8" t="s">
        <v>111</v>
      </c>
      <c r="C14" s="8" t="s">
        <v>180</v>
      </c>
      <c r="D14" s="8" t="s">
        <v>155</v>
      </c>
      <c r="E14" s="8" t="s">
        <v>156</v>
      </c>
      <c r="F14" s="8" t="s">
        <v>113</v>
      </c>
    </row>
    <row r="15" spans="1:6" x14ac:dyDescent="0.25">
      <c r="A15" s="7" t="s">
        <v>181</v>
      </c>
      <c r="B15" s="7" t="s">
        <v>111</v>
      </c>
      <c r="C15" s="7" t="s">
        <v>182</v>
      </c>
      <c r="D15" s="7" t="s">
        <v>155</v>
      </c>
      <c r="E15" s="7" t="s">
        <v>156</v>
      </c>
      <c r="F15" s="7" t="s">
        <v>117</v>
      </c>
    </row>
    <row r="16" spans="1:6" x14ac:dyDescent="0.25">
      <c r="A16" s="8" t="s">
        <v>183</v>
      </c>
      <c r="B16" s="8" t="s">
        <v>111</v>
      </c>
      <c r="C16" s="8" t="s">
        <v>184</v>
      </c>
      <c r="D16" s="8" t="s">
        <v>155</v>
      </c>
      <c r="E16" s="8" t="s">
        <v>172</v>
      </c>
      <c r="F16" s="8" t="s">
        <v>119</v>
      </c>
    </row>
    <row r="17" spans="1:6" ht="30" x14ac:dyDescent="0.25">
      <c r="A17" s="7" t="s">
        <v>185</v>
      </c>
      <c r="B17" s="7" t="s">
        <v>111</v>
      </c>
      <c r="C17" s="7" t="s">
        <v>186</v>
      </c>
      <c r="D17" s="7" t="s">
        <v>187</v>
      </c>
      <c r="E17" s="7" t="s">
        <v>172</v>
      </c>
      <c r="F17" s="7" t="s">
        <v>117</v>
      </c>
    </row>
    <row r="18" spans="1:6" x14ac:dyDescent="0.25">
      <c r="A18" s="8" t="s">
        <v>188</v>
      </c>
      <c r="B18" s="8" t="s">
        <v>122</v>
      </c>
      <c r="C18" s="8" t="s">
        <v>189</v>
      </c>
      <c r="D18" s="8" t="s">
        <v>155</v>
      </c>
      <c r="E18" s="8" t="s">
        <v>156</v>
      </c>
      <c r="F18" s="8" t="s">
        <v>121</v>
      </c>
    </row>
    <row r="19" spans="1:6" x14ac:dyDescent="0.25">
      <c r="A19" s="7" t="s">
        <v>190</v>
      </c>
      <c r="B19" s="7" t="s">
        <v>122</v>
      </c>
      <c r="C19" s="7" t="s">
        <v>191</v>
      </c>
      <c r="D19" s="7" t="s">
        <v>159</v>
      </c>
      <c r="E19" s="7" t="s">
        <v>156</v>
      </c>
      <c r="F19" s="7" t="s">
        <v>124</v>
      </c>
    </row>
    <row r="20" spans="1:6" x14ac:dyDescent="0.25">
      <c r="A20" s="8" t="s">
        <v>192</v>
      </c>
      <c r="B20" s="8" t="s">
        <v>122</v>
      </c>
      <c r="C20" s="8" t="s">
        <v>193</v>
      </c>
      <c r="D20" s="8" t="s">
        <v>159</v>
      </c>
      <c r="E20" s="8" t="s">
        <v>156</v>
      </c>
      <c r="F20" s="8" t="s">
        <v>124</v>
      </c>
    </row>
    <row r="21" spans="1:6" x14ac:dyDescent="0.25">
      <c r="A21" s="7" t="s">
        <v>194</v>
      </c>
      <c r="B21" s="7" t="s">
        <v>122</v>
      </c>
      <c r="C21" s="7" t="s">
        <v>195</v>
      </c>
      <c r="D21" s="7" t="s">
        <v>159</v>
      </c>
      <c r="E21" s="7" t="s">
        <v>156</v>
      </c>
      <c r="F21" s="7" t="s">
        <v>124</v>
      </c>
    </row>
    <row r="22" spans="1:6" x14ac:dyDescent="0.25">
      <c r="A22" s="8" t="s">
        <v>196</v>
      </c>
      <c r="B22" s="8" t="s">
        <v>122</v>
      </c>
      <c r="C22" s="8" t="s">
        <v>197</v>
      </c>
      <c r="D22" s="8" t="s">
        <v>198</v>
      </c>
      <c r="E22" s="8" t="s">
        <v>172</v>
      </c>
      <c r="F22" s="8" t="s">
        <v>126</v>
      </c>
    </row>
    <row r="23" spans="1:6" ht="30" x14ac:dyDescent="0.25">
      <c r="A23" s="7" t="s">
        <v>199</v>
      </c>
      <c r="B23" s="7" t="s">
        <v>129</v>
      </c>
      <c r="C23" s="7" t="s">
        <v>200</v>
      </c>
      <c r="D23" s="7" t="s">
        <v>155</v>
      </c>
      <c r="E23" s="7" t="s">
        <v>156</v>
      </c>
      <c r="F23" s="7" t="s">
        <v>128</v>
      </c>
    </row>
    <row r="24" spans="1:6" ht="30" x14ac:dyDescent="0.25">
      <c r="A24" s="8" t="s">
        <v>201</v>
      </c>
      <c r="B24" s="8" t="s">
        <v>129</v>
      </c>
      <c r="C24" s="8" t="s">
        <v>202</v>
      </c>
      <c r="D24" s="8" t="s">
        <v>155</v>
      </c>
      <c r="E24" s="8" t="s">
        <v>156</v>
      </c>
      <c r="F24" s="8" t="s">
        <v>131</v>
      </c>
    </row>
    <row r="25" spans="1:6" ht="30" x14ac:dyDescent="0.25">
      <c r="A25" s="7" t="s">
        <v>203</v>
      </c>
      <c r="B25" s="7" t="s">
        <v>129</v>
      </c>
      <c r="C25" s="7" t="s">
        <v>204</v>
      </c>
      <c r="D25" s="7" t="s">
        <v>155</v>
      </c>
      <c r="E25" s="7" t="s">
        <v>172</v>
      </c>
      <c r="F25" s="7" t="s">
        <v>133</v>
      </c>
    </row>
    <row r="26" spans="1:6" x14ac:dyDescent="0.25">
      <c r="A26" s="8" t="s">
        <v>205</v>
      </c>
      <c r="B26" s="8" t="s">
        <v>136</v>
      </c>
      <c r="C26" s="8" t="s">
        <v>206</v>
      </c>
      <c r="D26" s="8" t="s">
        <v>155</v>
      </c>
      <c r="E26" s="8" t="s">
        <v>156</v>
      </c>
      <c r="F26" s="8" t="s">
        <v>135</v>
      </c>
    </row>
    <row r="27" spans="1:6" x14ac:dyDescent="0.25">
      <c r="A27" s="7" t="s">
        <v>207</v>
      </c>
      <c r="B27" s="7" t="s">
        <v>141</v>
      </c>
      <c r="C27" s="7" t="s">
        <v>208</v>
      </c>
      <c r="D27" s="7" t="s">
        <v>155</v>
      </c>
      <c r="E27" s="7" t="s">
        <v>172</v>
      </c>
      <c r="F27" s="7" t="s">
        <v>140</v>
      </c>
    </row>
  </sheetData>
  <autoFilter ref="A3:F27"/>
  <mergeCells count="1">
    <mergeCell ref="A1:F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2"/>
  <sheetViews>
    <sheetView showGridLines="0" workbookViewId="0">
      <pane ySplit="1" topLeftCell="A2" activePane="bottomLeft" state="frozen"/>
      <selection pane="bottomLeft" sqref="A1:E1"/>
    </sheetView>
  </sheetViews>
  <sheetFormatPr defaultRowHeight="15" x14ac:dyDescent="0.25"/>
  <cols>
    <col min="1" max="1" width="16.85546875" customWidth="1"/>
    <col min="2" max="2" width="9.28515625" customWidth="1"/>
    <col min="3" max="3" width="27.42578125" customWidth="1"/>
    <col min="4" max="4" width="55.5703125" customWidth="1"/>
    <col min="5" max="5" width="53.85546875" customWidth="1"/>
  </cols>
  <sheetData>
    <row r="1" spans="1:5" ht="27.95" customHeight="1" x14ac:dyDescent="0.25">
      <c r="A1" s="14" t="s">
        <v>209</v>
      </c>
      <c r="B1" s="15"/>
      <c r="C1" s="15"/>
      <c r="D1" s="15"/>
      <c r="E1" s="15"/>
    </row>
    <row r="2" spans="1:5" ht="33.950000000000003" customHeight="1" x14ac:dyDescent="0.25">
      <c r="A2" s="6" t="s">
        <v>210</v>
      </c>
      <c r="B2" s="6" t="s">
        <v>211</v>
      </c>
      <c r="C2" s="6" t="s">
        <v>212</v>
      </c>
      <c r="D2" s="6" t="s">
        <v>213</v>
      </c>
      <c r="E2" s="6" t="s">
        <v>214</v>
      </c>
    </row>
    <row r="3" spans="1:5" ht="30" x14ac:dyDescent="0.25">
      <c r="A3" s="7" t="s">
        <v>215</v>
      </c>
      <c r="B3" s="7" t="s">
        <v>91</v>
      </c>
      <c r="C3" s="7" t="s">
        <v>216</v>
      </c>
      <c r="D3" s="7" t="s">
        <v>217</v>
      </c>
      <c r="E3" s="7" t="s">
        <v>218</v>
      </c>
    </row>
    <row r="4" spans="1:5" ht="30" x14ac:dyDescent="0.25">
      <c r="A4" s="8" t="s">
        <v>219</v>
      </c>
      <c r="B4" s="8" t="s">
        <v>91</v>
      </c>
      <c r="C4" s="8" t="s">
        <v>220</v>
      </c>
      <c r="D4" s="8" t="s">
        <v>221</v>
      </c>
      <c r="E4" s="8" t="s">
        <v>222</v>
      </c>
    </row>
    <row r="5" spans="1:5" x14ac:dyDescent="0.25">
      <c r="A5" s="7" t="s">
        <v>223</v>
      </c>
      <c r="B5" s="7" t="s">
        <v>91</v>
      </c>
      <c r="C5" s="7" t="s">
        <v>224</v>
      </c>
      <c r="D5" s="7" t="s">
        <v>225</v>
      </c>
      <c r="E5" s="7" t="s">
        <v>226</v>
      </c>
    </row>
    <row r="6" spans="1:5" x14ac:dyDescent="0.25">
      <c r="A6" s="8" t="s">
        <v>227</v>
      </c>
      <c r="B6" s="8" t="s">
        <v>91</v>
      </c>
      <c r="C6" s="8" t="s">
        <v>228</v>
      </c>
      <c r="D6" s="8" t="s">
        <v>229</v>
      </c>
      <c r="E6" s="8" t="s">
        <v>226</v>
      </c>
    </row>
    <row r="7" spans="1:5" x14ac:dyDescent="0.25">
      <c r="A7" s="7" t="s">
        <v>230</v>
      </c>
      <c r="B7" s="7" t="s">
        <v>91</v>
      </c>
      <c r="C7" s="7" t="s">
        <v>231</v>
      </c>
      <c r="D7" s="7" t="s">
        <v>232</v>
      </c>
      <c r="E7" s="7" t="s">
        <v>233</v>
      </c>
    </row>
    <row r="8" spans="1:5" x14ac:dyDescent="0.25">
      <c r="A8" s="8" t="s">
        <v>234</v>
      </c>
      <c r="B8" s="8" t="s">
        <v>91</v>
      </c>
      <c r="C8" s="8" t="s">
        <v>235</v>
      </c>
      <c r="D8" s="8" t="s">
        <v>232</v>
      </c>
      <c r="E8" s="8" t="s">
        <v>233</v>
      </c>
    </row>
    <row r="9" spans="1:5" x14ac:dyDescent="0.25">
      <c r="A9" s="7" t="s">
        <v>236</v>
      </c>
      <c r="B9" s="7" t="s">
        <v>91</v>
      </c>
      <c r="C9" s="7" t="s">
        <v>237</v>
      </c>
      <c r="D9" s="7" t="s">
        <v>238</v>
      </c>
      <c r="E9" s="7" t="s">
        <v>233</v>
      </c>
    </row>
    <row r="10" spans="1:5" x14ac:dyDescent="0.25">
      <c r="A10" s="8" t="s">
        <v>239</v>
      </c>
      <c r="B10" s="8" t="s">
        <v>122</v>
      </c>
      <c r="C10" s="8" t="s">
        <v>240</v>
      </c>
      <c r="D10" s="8" t="s">
        <v>241</v>
      </c>
      <c r="E10" s="8" t="s">
        <v>242</v>
      </c>
    </row>
    <row r="11" spans="1:5" x14ac:dyDescent="0.25">
      <c r="A11" s="7" t="s">
        <v>243</v>
      </c>
      <c r="B11" s="7" t="s">
        <v>122</v>
      </c>
      <c r="C11" s="7" t="s">
        <v>244</v>
      </c>
      <c r="D11" s="7" t="s">
        <v>245</v>
      </c>
      <c r="E11" s="7" t="s">
        <v>242</v>
      </c>
    </row>
    <row r="12" spans="1:5" ht="30" x14ac:dyDescent="0.25">
      <c r="A12" s="8" t="s">
        <v>246</v>
      </c>
      <c r="B12" s="8" t="s">
        <v>122</v>
      </c>
      <c r="C12" s="8" t="s">
        <v>247</v>
      </c>
      <c r="D12" s="8" t="s">
        <v>248</v>
      </c>
      <c r="E12" s="8" t="s">
        <v>249</v>
      </c>
    </row>
    <row r="13" spans="1:5" x14ac:dyDescent="0.25">
      <c r="A13" s="7" t="s">
        <v>250</v>
      </c>
      <c r="B13" s="7" t="s">
        <v>122</v>
      </c>
      <c r="C13" s="7" t="s">
        <v>251</v>
      </c>
      <c r="D13" s="7" t="s">
        <v>232</v>
      </c>
      <c r="E13" s="7" t="s">
        <v>233</v>
      </c>
    </row>
    <row r="14" spans="1:5" x14ac:dyDescent="0.25">
      <c r="A14" s="8" t="s">
        <v>252</v>
      </c>
      <c r="B14" s="8" t="s">
        <v>122</v>
      </c>
      <c r="C14" s="8" t="s">
        <v>253</v>
      </c>
      <c r="D14" s="8" t="s">
        <v>232</v>
      </c>
      <c r="E14" s="8" t="s">
        <v>233</v>
      </c>
    </row>
    <row r="15" spans="1:5" x14ac:dyDescent="0.25">
      <c r="A15" s="7" t="s">
        <v>254</v>
      </c>
      <c r="B15" s="7" t="s">
        <v>122</v>
      </c>
      <c r="C15" s="7" t="s">
        <v>255</v>
      </c>
      <c r="D15" s="7" t="s">
        <v>232</v>
      </c>
      <c r="E15" s="7" t="s">
        <v>233</v>
      </c>
    </row>
    <row r="16" spans="1:5" ht="30" x14ac:dyDescent="0.25">
      <c r="A16" s="8" t="s">
        <v>256</v>
      </c>
      <c r="B16" s="8" t="s">
        <v>122</v>
      </c>
      <c r="C16" s="8" t="s">
        <v>257</v>
      </c>
      <c r="D16" s="8" t="s">
        <v>258</v>
      </c>
      <c r="E16" s="8" t="s">
        <v>259</v>
      </c>
    </row>
    <row r="17" spans="1:5" ht="30" x14ac:dyDescent="0.25">
      <c r="A17" s="7" t="s">
        <v>260</v>
      </c>
      <c r="B17" s="7" t="s">
        <v>122</v>
      </c>
      <c r="C17" s="7" t="s">
        <v>257</v>
      </c>
      <c r="D17" s="7" t="s">
        <v>261</v>
      </c>
      <c r="E17" s="7" t="s">
        <v>259</v>
      </c>
    </row>
    <row r="18" spans="1:5" ht="30" x14ac:dyDescent="0.25">
      <c r="A18" s="8" t="s">
        <v>262</v>
      </c>
      <c r="B18" s="8" t="s">
        <v>122</v>
      </c>
      <c r="C18" s="8" t="s">
        <v>263</v>
      </c>
      <c r="D18" s="8" t="s">
        <v>264</v>
      </c>
      <c r="E18" s="8" t="s">
        <v>265</v>
      </c>
    </row>
    <row r="19" spans="1:5" ht="30" x14ac:dyDescent="0.25">
      <c r="A19" s="7" t="s">
        <v>266</v>
      </c>
      <c r="B19" s="7" t="s">
        <v>122</v>
      </c>
      <c r="C19" s="7" t="s">
        <v>267</v>
      </c>
      <c r="D19" s="7" t="s">
        <v>268</v>
      </c>
      <c r="E19" s="7" t="s">
        <v>269</v>
      </c>
    </row>
    <row r="20" spans="1:5" x14ac:dyDescent="0.25">
      <c r="A20" s="8" t="s">
        <v>270</v>
      </c>
      <c r="B20" s="8" t="s">
        <v>271</v>
      </c>
      <c r="C20" s="8" t="s">
        <v>272</v>
      </c>
      <c r="D20" s="8" t="s">
        <v>273</v>
      </c>
      <c r="E20" s="8" t="s">
        <v>274</v>
      </c>
    </row>
    <row r="21" spans="1:5" x14ac:dyDescent="0.25">
      <c r="A21" s="7" t="s">
        <v>275</v>
      </c>
      <c r="B21" s="7" t="s">
        <v>271</v>
      </c>
      <c r="C21" s="7" t="s">
        <v>276</v>
      </c>
      <c r="D21" s="7" t="s">
        <v>277</v>
      </c>
      <c r="E21" s="7" t="s">
        <v>278</v>
      </c>
    </row>
    <row r="22" spans="1:5" x14ac:dyDescent="0.25">
      <c r="A22" s="8" t="s">
        <v>279</v>
      </c>
      <c r="B22" s="8" t="s">
        <v>271</v>
      </c>
      <c r="C22" s="8" t="s">
        <v>280</v>
      </c>
      <c r="D22" s="8" t="s">
        <v>281</v>
      </c>
      <c r="E22" s="8" t="s">
        <v>282</v>
      </c>
    </row>
  </sheetData>
  <autoFilter ref="A3:E22"/>
  <mergeCells count="1">
    <mergeCell ref="A1:E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9"/>
  <sheetViews>
    <sheetView showGridLines="0" topLeftCell="J1" zoomScale="76" workbookViewId="0">
      <pane ySplit="2" topLeftCell="A3" activePane="bottomLeft" state="frozen"/>
      <selection pane="bottomLeft" activeCell="M3" sqref="M3"/>
    </sheetView>
  </sheetViews>
  <sheetFormatPr defaultRowHeight="15" x14ac:dyDescent="0.25"/>
  <cols>
    <col min="1" max="1" width="17.85546875" bestFit="1" customWidth="1"/>
    <col min="2" max="2" width="20.28515625" bestFit="1" customWidth="1"/>
    <col min="3" max="3" width="17.85546875" bestFit="1" customWidth="1"/>
    <col min="4" max="4" width="18.42578125" bestFit="1" customWidth="1"/>
    <col min="5" max="5" width="51.7109375" bestFit="1" customWidth="1"/>
    <col min="6" max="6" width="49.5703125" bestFit="1" customWidth="1"/>
    <col min="7" max="7" width="54.28515625" bestFit="1" customWidth="1"/>
    <col min="8" max="8" width="39" bestFit="1" customWidth="1"/>
    <col min="9" max="9" width="71.5703125" bestFit="1" customWidth="1"/>
    <col min="10" max="10" width="127" bestFit="1" customWidth="1"/>
    <col min="11" max="11" width="7.85546875" bestFit="1" customWidth="1"/>
    <col min="12" max="12" width="12.85546875" bestFit="1" customWidth="1"/>
    <col min="13" max="13" width="13.28515625" bestFit="1" customWidth="1"/>
    <col min="14" max="14" width="11.85546875" bestFit="1" customWidth="1"/>
    <col min="15" max="15" width="14.42578125" customWidth="1"/>
  </cols>
  <sheetData>
    <row r="1" spans="1:15" ht="27.95" customHeight="1" x14ac:dyDescent="0.25">
      <c r="A1" s="16" t="s">
        <v>283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33.950000000000003" customHeight="1" x14ac:dyDescent="0.25">
      <c r="A2" s="10" t="s">
        <v>284</v>
      </c>
      <c r="B2" s="10" t="s">
        <v>285</v>
      </c>
      <c r="C2" s="10" t="s">
        <v>149</v>
      </c>
      <c r="D2" s="10" t="s">
        <v>88</v>
      </c>
      <c r="E2" s="10" t="s">
        <v>286</v>
      </c>
      <c r="F2" s="10" t="s">
        <v>287</v>
      </c>
      <c r="G2" s="10" t="s">
        <v>288</v>
      </c>
      <c r="H2" s="10" t="s">
        <v>17</v>
      </c>
      <c r="I2" s="10" t="s">
        <v>289</v>
      </c>
      <c r="J2" s="10" t="s">
        <v>290</v>
      </c>
      <c r="K2" s="10" t="s">
        <v>152</v>
      </c>
      <c r="L2" s="10" t="s">
        <v>4</v>
      </c>
      <c r="M2" s="10" t="s">
        <v>291</v>
      </c>
      <c r="N2" s="10" t="s">
        <v>292</v>
      </c>
      <c r="O2" s="10" t="s">
        <v>293</v>
      </c>
    </row>
    <row r="3" spans="1:15" ht="60" x14ac:dyDescent="0.25">
      <c r="A3" s="11" t="s">
        <v>294</v>
      </c>
      <c r="B3" s="11" t="s">
        <v>90</v>
      </c>
      <c r="C3" s="11" t="s">
        <v>153</v>
      </c>
      <c r="D3" s="11" t="s">
        <v>91</v>
      </c>
      <c r="E3" s="11" t="s">
        <v>295</v>
      </c>
      <c r="F3" s="11" t="s">
        <v>296</v>
      </c>
      <c r="G3" s="11" t="s">
        <v>297</v>
      </c>
      <c r="H3" s="11" t="s">
        <v>215</v>
      </c>
      <c r="I3" s="11" t="s">
        <v>298</v>
      </c>
      <c r="J3" s="12" t="s">
        <v>774</v>
      </c>
      <c r="K3" s="11" t="s">
        <v>156</v>
      </c>
      <c r="L3" s="11" t="s">
        <v>299</v>
      </c>
      <c r="M3" s="11"/>
      <c r="N3" s="9" t="s">
        <v>823</v>
      </c>
      <c r="O3" s="9" t="s">
        <v>824</v>
      </c>
    </row>
    <row r="4" spans="1:15" ht="45" x14ac:dyDescent="0.25">
      <c r="A4" s="13" t="s">
        <v>300</v>
      </c>
      <c r="B4" s="13" t="s">
        <v>93</v>
      </c>
      <c r="C4" s="13" t="s">
        <v>157</v>
      </c>
      <c r="D4" s="13" t="s">
        <v>91</v>
      </c>
      <c r="E4" s="13" t="s">
        <v>301</v>
      </c>
      <c r="F4" s="13" t="s">
        <v>302</v>
      </c>
      <c r="G4" s="13" t="s">
        <v>303</v>
      </c>
      <c r="H4" s="13" t="s">
        <v>304</v>
      </c>
      <c r="I4" s="13" t="s">
        <v>305</v>
      </c>
      <c r="J4" s="12" t="s">
        <v>775</v>
      </c>
      <c r="K4" s="13" t="s">
        <v>156</v>
      </c>
      <c r="L4" s="13" t="s">
        <v>299</v>
      </c>
      <c r="M4" s="13"/>
      <c r="N4" s="9" t="s">
        <v>823</v>
      </c>
      <c r="O4" s="9" t="s">
        <v>824</v>
      </c>
    </row>
    <row r="5" spans="1:15" ht="45" x14ac:dyDescent="0.25">
      <c r="A5" s="11" t="s">
        <v>306</v>
      </c>
      <c r="B5" s="11" t="s">
        <v>93</v>
      </c>
      <c r="C5" s="11" t="s">
        <v>160</v>
      </c>
      <c r="D5" s="11" t="s">
        <v>91</v>
      </c>
      <c r="E5" s="11" t="s">
        <v>307</v>
      </c>
      <c r="F5" s="11" t="s">
        <v>302</v>
      </c>
      <c r="G5" s="11" t="s">
        <v>308</v>
      </c>
      <c r="H5" s="11" t="s">
        <v>309</v>
      </c>
      <c r="I5" s="11" t="s">
        <v>305</v>
      </c>
      <c r="J5" s="12" t="s">
        <v>775</v>
      </c>
      <c r="K5" s="11" t="s">
        <v>156</v>
      </c>
      <c r="L5" s="11" t="s">
        <v>299</v>
      </c>
      <c r="M5" s="11"/>
      <c r="N5" s="9" t="s">
        <v>823</v>
      </c>
      <c r="O5" s="9" t="s">
        <v>824</v>
      </c>
    </row>
    <row r="6" spans="1:15" ht="45" x14ac:dyDescent="0.25">
      <c r="A6" s="13" t="s">
        <v>310</v>
      </c>
      <c r="B6" s="13" t="s">
        <v>97</v>
      </c>
      <c r="C6" s="13" t="s">
        <v>162</v>
      </c>
      <c r="D6" s="13" t="s">
        <v>91</v>
      </c>
      <c r="E6" s="13" t="s">
        <v>311</v>
      </c>
      <c r="F6" s="13" t="s">
        <v>302</v>
      </c>
      <c r="G6" s="13" t="s">
        <v>312</v>
      </c>
      <c r="H6" s="13" t="s">
        <v>236</v>
      </c>
      <c r="I6" s="13" t="s">
        <v>313</v>
      </c>
      <c r="J6" s="12" t="s">
        <v>776</v>
      </c>
      <c r="K6" s="13" t="s">
        <v>156</v>
      </c>
      <c r="L6" s="13" t="s">
        <v>299</v>
      </c>
      <c r="M6" s="13"/>
      <c r="N6" s="9" t="s">
        <v>823</v>
      </c>
      <c r="O6" s="9" t="s">
        <v>824</v>
      </c>
    </row>
    <row r="7" spans="1:15" ht="45" x14ac:dyDescent="0.25">
      <c r="A7" s="11" t="s">
        <v>314</v>
      </c>
      <c r="B7" s="11" t="s">
        <v>97</v>
      </c>
      <c r="C7" s="11" t="s">
        <v>162</v>
      </c>
      <c r="D7" s="11" t="s">
        <v>91</v>
      </c>
      <c r="E7" s="11" t="s">
        <v>315</v>
      </c>
      <c r="F7" s="11" t="s">
        <v>302</v>
      </c>
      <c r="G7" s="11" t="s">
        <v>316</v>
      </c>
      <c r="H7" s="11" t="s">
        <v>317</v>
      </c>
      <c r="I7" s="11" t="s">
        <v>318</v>
      </c>
      <c r="J7" s="12" t="s">
        <v>777</v>
      </c>
      <c r="K7" s="11" t="s">
        <v>156</v>
      </c>
      <c r="L7" s="11" t="s">
        <v>299</v>
      </c>
      <c r="M7" s="11"/>
      <c r="N7" s="9" t="s">
        <v>823</v>
      </c>
      <c r="O7" s="9" t="s">
        <v>824</v>
      </c>
    </row>
    <row r="8" spans="1:15" ht="45" x14ac:dyDescent="0.25">
      <c r="A8" s="13" t="s">
        <v>319</v>
      </c>
      <c r="B8" s="13" t="s">
        <v>97</v>
      </c>
      <c r="C8" s="13" t="s">
        <v>162</v>
      </c>
      <c r="D8" s="13" t="s">
        <v>91</v>
      </c>
      <c r="E8" s="13" t="s">
        <v>320</v>
      </c>
      <c r="F8" s="13" t="s">
        <v>302</v>
      </c>
      <c r="G8" s="13" t="s">
        <v>321</v>
      </c>
      <c r="H8" s="13" t="s">
        <v>322</v>
      </c>
      <c r="I8" s="13" t="s">
        <v>323</v>
      </c>
      <c r="J8" s="12" t="s">
        <v>778</v>
      </c>
      <c r="K8" s="13" t="s">
        <v>156</v>
      </c>
      <c r="L8" s="13" t="s">
        <v>299</v>
      </c>
      <c r="M8" s="13"/>
      <c r="N8" s="9" t="s">
        <v>823</v>
      </c>
      <c r="O8" s="9" t="s">
        <v>824</v>
      </c>
    </row>
    <row r="9" spans="1:15" ht="45" x14ac:dyDescent="0.25">
      <c r="A9" s="11" t="s">
        <v>324</v>
      </c>
      <c r="B9" s="11" t="s">
        <v>95</v>
      </c>
      <c r="C9" s="11" t="s">
        <v>164</v>
      </c>
      <c r="D9" s="11" t="s">
        <v>91</v>
      </c>
      <c r="E9" s="11" t="s">
        <v>325</v>
      </c>
      <c r="F9" s="11" t="s">
        <v>302</v>
      </c>
      <c r="G9" s="11" t="s">
        <v>326</v>
      </c>
      <c r="H9" s="11" t="s">
        <v>219</v>
      </c>
      <c r="I9" s="11" t="s">
        <v>327</v>
      </c>
      <c r="J9" s="12" t="s">
        <v>779</v>
      </c>
      <c r="K9" s="11" t="s">
        <v>156</v>
      </c>
      <c r="L9" s="11" t="s">
        <v>299</v>
      </c>
      <c r="M9" s="11"/>
      <c r="N9" s="9" t="s">
        <v>823</v>
      </c>
      <c r="O9" s="9" t="s">
        <v>824</v>
      </c>
    </row>
    <row r="10" spans="1:15" ht="45" x14ac:dyDescent="0.25">
      <c r="A10" s="13" t="s">
        <v>328</v>
      </c>
      <c r="B10" s="13" t="s">
        <v>93</v>
      </c>
      <c r="C10" s="13" t="s">
        <v>157</v>
      </c>
      <c r="D10" s="13" t="s">
        <v>91</v>
      </c>
      <c r="E10" s="13" t="s">
        <v>329</v>
      </c>
      <c r="F10" s="13" t="s">
        <v>302</v>
      </c>
      <c r="G10" s="13" t="s">
        <v>330</v>
      </c>
      <c r="H10" s="13" t="s">
        <v>331</v>
      </c>
      <c r="I10" s="13" t="s">
        <v>332</v>
      </c>
      <c r="J10" s="12" t="s">
        <v>780</v>
      </c>
      <c r="K10" s="13" t="s">
        <v>156</v>
      </c>
      <c r="L10" s="13" t="s">
        <v>299</v>
      </c>
      <c r="M10" s="13"/>
      <c r="N10" s="9" t="s">
        <v>823</v>
      </c>
      <c r="O10" s="9" t="s">
        <v>824</v>
      </c>
    </row>
    <row r="11" spans="1:15" ht="30" x14ac:dyDescent="0.25">
      <c r="A11" s="11" t="s">
        <v>333</v>
      </c>
      <c r="B11" s="11" t="s">
        <v>99</v>
      </c>
      <c r="C11" s="11" t="s">
        <v>166</v>
      </c>
      <c r="D11" s="11" t="s">
        <v>91</v>
      </c>
      <c r="E11" s="11" t="s">
        <v>334</v>
      </c>
      <c r="F11" s="11" t="s">
        <v>335</v>
      </c>
      <c r="G11" s="11" t="s">
        <v>336</v>
      </c>
      <c r="H11" s="11" t="s">
        <v>337</v>
      </c>
      <c r="I11" s="11" t="s">
        <v>338</v>
      </c>
      <c r="J11" s="12" t="s">
        <v>781</v>
      </c>
      <c r="K11" s="11" t="s">
        <v>156</v>
      </c>
      <c r="L11" s="11" t="s">
        <v>299</v>
      </c>
      <c r="M11" s="11"/>
      <c r="N11" s="9" t="s">
        <v>823</v>
      </c>
      <c r="O11" s="9" t="s">
        <v>824</v>
      </c>
    </row>
    <row r="12" spans="1:15" ht="30" x14ac:dyDescent="0.25">
      <c r="A12" s="13" t="s">
        <v>339</v>
      </c>
      <c r="B12" s="13" t="s">
        <v>99</v>
      </c>
      <c r="C12" s="13" t="s">
        <v>166</v>
      </c>
      <c r="D12" s="13" t="s">
        <v>91</v>
      </c>
      <c r="E12" s="13" t="s">
        <v>340</v>
      </c>
      <c r="F12" s="13" t="s">
        <v>341</v>
      </c>
      <c r="G12" s="13" t="s">
        <v>342</v>
      </c>
      <c r="H12" s="13" t="s">
        <v>337</v>
      </c>
      <c r="I12" s="13" t="s">
        <v>343</v>
      </c>
      <c r="J12" s="12" t="s">
        <v>781</v>
      </c>
      <c r="K12" s="13" t="s">
        <v>156</v>
      </c>
      <c r="L12" s="13" t="s">
        <v>299</v>
      </c>
      <c r="M12" s="13"/>
      <c r="N12" s="9" t="s">
        <v>823</v>
      </c>
      <c r="O12" s="9" t="s">
        <v>824</v>
      </c>
    </row>
    <row r="13" spans="1:15" ht="30" x14ac:dyDescent="0.25">
      <c r="A13" s="11" t="s">
        <v>344</v>
      </c>
      <c r="B13" s="11" t="s">
        <v>101</v>
      </c>
      <c r="C13" s="11" t="s">
        <v>168</v>
      </c>
      <c r="D13" s="11" t="s">
        <v>102</v>
      </c>
      <c r="E13" s="11" t="s">
        <v>345</v>
      </c>
      <c r="F13" s="11" t="s">
        <v>346</v>
      </c>
      <c r="G13" s="11" t="s">
        <v>347</v>
      </c>
      <c r="H13" s="11" t="s">
        <v>215</v>
      </c>
      <c r="I13" s="11" t="s">
        <v>348</v>
      </c>
      <c r="J13" s="12" t="s">
        <v>782</v>
      </c>
      <c r="K13" s="11" t="s">
        <v>156</v>
      </c>
      <c r="L13" s="11" t="s">
        <v>299</v>
      </c>
      <c r="M13" s="11"/>
      <c r="N13" s="9" t="s">
        <v>823</v>
      </c>
      <c r="O13" s="9" t="s">
        <v>824</v>
      </c>
    </row>
    <row r="14" spans="1:15" x14ac:dyDescent="0.25">
      <c r="A14" s="13" t="s">
        <v>349</v>
      </c>
      <c r="B14" s="13" t="s">
        <v>104</v>
      </c>
      <c r="C14" s="13" t="s">
        <v>170</v>
      </c>
      <c r="D14" s="13" t="s">
        <v>102</v>
      </c>
      <c r="E14" s="13" t="s">
        <v>350</v>
      </c>
      <c r="F14" s="13" t="s">
        <v>351</v>
      </c>
      <c r="G14" s="13" t="s">
        <v>352</v>
      </c>
      <c r="H14" s="13" t="s">
        <v>353</v>
      </c>
      <c r="I14" s="13" t="s">
        <v>354</v>
      </c>
      <c r="J14" s="12" t="s">
        <v>783</v>
      </c>
      <c r="K14" s="13" t="s">
        <v>156</v>
      </c>
      <c r="L14" s="13" t="s">
        <v>299</v>
      </c>
      <c r="M14" s="13"/>
      <c r="N14" s="9" t="s">
        <v>823</v>
      </c>
      <c r="O14" s="9" t="s">
        <v>824</v>
      </c>
    </row>
    <row r="15" spans="1:15" ht="45" x14ac:dyDescent="0.25">
      <c r="A15" s="11" t="s">
        <v>355</v>
      </c>
      <c r="B15" s="11" t="s">
        <v>106</v>
      </c>
      <c r="C15" s="11" t="s">
        <v>173</v>
      </c>
      <c r="D15" s="11" t="s">
        <v>102</v>
      </c>
      <c r="E15" s="11" t="s">
        <v>356</v>
      </c>
      <c r="F15" s="11" t="s">
        <v>351</v>
      </c>
      <c r="G15" s="11" t="s">
        <v>357</v>
      </c>
      <c r="H15" s="11" t="s">
        <v>358</v>
      </c>
      <c r="I15" s="11" t="s">
        <v>359</v>
      </c>
      <c r="J15" s="12" t="s">
        <v>784</v>
      </c>
      <c r="K15" s="11" t="s">
        <v>156</v>
      </c>
      <c r="L15" s="11" t="s">
        <v>299</v>
      </c>
      <c r="M15" s="11"/>
      <c r="N15" s="9" t="s">
        <v>823</v>
      </c>
      <c r="O15" s="9" t="s">
        <v>824</v>
      </c>
    </row>
    <row r="16" spans="1:15" ht="45" x14ac:dyDescent="0.25">
      <c r="A16" s="13" t="s">
        <v>360</v>
      </c>
      <c r="B16" s="13" t="s">
        <v>106</v>
      </c>
      <c r="C16" s="13" t="s">
        <v>173</v>
      </c>
      <c r="D16" s="13" t="s">
        <v>102</v>
      </c>
      <c r="E16" s="13" t="s">
        <v>361</v>
      </c>
      <c r="F16" s="13" t="s">
        <v>351</v>
      </c>
      <c r="G16" s="13" t="s">
        <v>362</v>
      </c>
      <c r="H16" s="13" t="s">
        <v>358</v>
      </c>
      <c r="I16" s="13" t="s">
        <v>363</v>
      </c>
      <c r="J16" s="12" t="s">
        <v>785</v>
      </c>
      <c r="K16" s="13" t="s">
        <v>156</v>
      </c>
      <c r="L16" s="13" t="s">
        <v>299</v>
      </c>
      <c r="M16" s="13"/>
      <c r="N16" s="9" t="s">
        <v>823</v>
      </c>
      <c r="O16" s="9" t="s">
        <v>824</v>
      </c>
    </row>
    <row r="17" spans="1:15" ht="45" x14ac:dyDescent="0.25">
      <c r="A17" s="11" t="s">
        <v>364</v>
      </c>
      <c r="B17" s="11" t="s">
        <v>106</v>
      </c>
      <c r="C17" s="11" t="s">
        <v>173</v>
      </c>
      <c r="D17" s="11" t="s">
        <v>102</v>
      </c>
      <c r="E17" s="11" t="s">
        <v>365</v>
      </c>
      <c r="F17" s="11" t="s">
        <v>351</v>
      </c>
      <c r="G17" s="11" t="s">
        <v>366</v>
      </c>
      <c r="H17" s="11" t="s">
        <v>358</v>
      </c>
      <c r="I17" s="11" t="s">
        <v>367</v>
      </c>
      <c r="J17" s="12" t="s">
        <v>786</v>
      </c>
      <c r="K17" s="11" t="s">
        <v>156</v>
      </c>
      <c r="L17" s="11" t="s">
        <v>299</v>
      </c>
      <c r="M17" s="11"/>
      <c r="N17" s="9" t="s">
        <v>823</v>
      </c>
      <c r="O17" s="9" t="s">
        <v>824</v>
      </c>
    </row>
    <row r="18" spans="1:15" ht="45" x14ac:dyDescent="0.25">
      <c r="A18" s="13" t="s">
        <v>368</v>
      </c>
      <c r="B18" s="13" t="s">
        <v>106</v>
      </c>
      <c r="C18" s="13" t="s">
        <v>173</v>
      </c>
      <c r="D18" s="13" t="s">
        <v>102</v>
      </c>
      <c r="E18" s="13" t="s">
        <v>369</v>
      </c>
      <c r="F18" s="13" t="s">
        <v>351</v>
      </c>
      <c r="G18" s="13" t="s">
        <v>370</v>
      </c>
      <c r="H18" s="13" t="s">
        <v>358</v>
      </c>
      <c r="I18" s="13" t="s">
        <v>371</v>
      </c>
      <c r="J18" s="12" t="s">
        <v>787</v>
      </c>
      <c r="K18" s="13" t="s">
        <v>156</v>
      </c>
      <c r="L18" s="13" t="s">
        <v>299</v>
      </c>
      <c r="M18" s="13"/>
      <c r="N18" s="9" t="s">
        <v>823</v>
      </c>
      <c r="O18" s="9" t="s">
        <v>824</v>
      </c>
    </row>
    <row r="19" spans="1:15" x14ac:dyDescent="0.25">
      <c r="A19" s="11" t="s">
        <v>372</v>
      </c>
      <c r="B19" s="11" t="s">
        <v>108</v>
      </c>
      <c r="C19" s="11" t="s">
        <v>175</v>
      </c>
      <c r="D19" s="11" t="s">
        <v>102</v>
      </c>
      <c r="E19" s="11" t="s">
        <v>373</v>
      </c>
      <c r="F19" s="11" t="s">
        <v>351</v>
      </c>
      <c r="G19" s="11" t="s">
        <v>374</v>
      </c>
      <c r="H19" s="11" t="s">
        <v>270</v>
      </c>
      <c r="I19" s="11" t="s">
        <v>375</v>
      </c>
      <c r="J19" s="12" t="s">
        <v>788</v>
      </c>
      <c r="K19" s="11" t="s">
        <v>156</v>
      </c>
      <c r="L19" s="11" t="s">
        <v>299</v>
      </c>
      <c r="M19" s="11"/>
      <c r="N19" s="9" t="s">
        <v>823</v>
      </c>
      <c r="O19" s="9" t="s">
        <v>824</v>
      </c>
    </row>
    <row r="20" spans="1:15" x14ac:dyDescent="0.25">
      <c r="A20" s="13" t="s">
        <v>376</v>
      </c>
      <c r="B20" s="13" t="s">
        <v>108</v>
      </c>
      <c r="C20" s="13" t="s">
        <v>175</v>
      </c>
      <c r="D20" s="13" t="s">
        <v>102</v>
      </c>
      <c r="E20" s="13" t="s">
        <v>377</v>
      </c>
      <c r="F20" s="13" t="s">
        <v>351</v>
      </c>
      <c r="G20" s="13" t="s">
        <v>378</v>
      </c>
      <c r="H20" s="13" t="s">
        <v>270</v>
      </c>
      <c r="I20" s="13" t="s">
        <v>379</v>
      </c>
      <c r="J20" s="12" t="s">
        <v>788</v>
      </c>
      <c r="K20" s="13" t="s">
        <v>156</v>
      </c>
      <c r="L20" s="13" t="s">
        <v>299</v>
      </c>
      <c r="M20" s="13"/>
      <c r="N20" s="9" t="s">
        <v>823</v>
      </c>
      <c r="O20" s="9" t="s">
        <v>824</v>
      </c>
    </row>
    <row r="21" spans="1:15" x14ac:dyDescent="0.25">
      <c r="A21" s="11" t="s">
        <v>380</v>
      </c>
      <c r="B21" s="11" t="s">
        <v>145</v>
      </c>
      <c r="C21" s="11" t="s">
        <v>170</v>
      </c>
      <c r="D21" s="11" t="s">
        <v>102</v>
      </c>
      <c r="E21" s="11" t="s">
        <v>381</v>
      </c>
      <c r="F21" s="11" t="s">
        <v>351</v>
      </c>
      <c r="G21" s="11" t="s">
        <v>382</v>
      </c>
      <c r="H21" s="11" t="s">
        <v>358</v>
      </c>
      <c r="I21" s="11" t="s">
        <v>383</v>
      </c>
      <c r="J21" s="12" t="s">
        <v>789</v>
      </c>
      <c r="K21" s="11" t="s">
        <v>156</v>
      </c>
      <c r="L21" s="11" t="s">
        <v>299</v>
      </c>
      <c r="M21" s="11"/>
      <c r="N21" s="9" t="s">
        <v>823</v>
      </c>
      <c r="O21" s="9" t="s">
        <v>824</v>
      </c>
    </row>
    <row r="22" spans="1:15" ht="30" x14ac:dyDescent="0.25">
      <c r="A22" s="13" t="s">
        <v>384</v>
      </c>
      <c r="B22" s="13" t="s">
        <v>101</v>
      </c>
      <c r="C22" s="13" t="s">
        <v>168</v>
      </c>
      <c r="D22" s="13" t="s">
        <v>102</v>
      </c>
      <c r="E22" s="13" t="s">
        <v>385</v>
      </c>
      <c r="F22" s="13" t="s">
        <v>386</v>
      </c>
      <c r="G22" s="13" t="s">
        <v>387</v>
      </c>
      <c r="H22" s="13" t="s">
        <v>337</v>
      </c>
      <c r="I22" s="13" t="s">
        <v>388</v>
      </c>
      <c r="J22" s="12" t="s">
        <v>790</v>
      </c>
      <c r="K22" s="13" t="s">
        <v>156</v>
      </c>
      <c r="L22" s="13" t="s">
        <v>299</v>
      </c>
      <c r="M22" s="13"/>
      <c r="N22" s="9" t="s">
        <v>823</v>
      </c>
      <c r="O22" s="9" t="s">
        <v>824</v>
      </c>
    </row>
    <row r="23" spans="1:15" ht="30" x14ac:dyDescent="0.25">
      <c r="A23" s="11" t="s">
        <v>389</v>
      </c>
      <c r="B23" s="11" t="s">
        <v>110</v>
      </c>
      <c r="C23" s="11" t="s">
        <v>177</v>
      </c>
      <c r="D23" s="11" t="s">
        <v>111</v>
      </c>
      <c r="E23" s="11" t="s">
        <v>390</v>
      </c>
      <c r="F23" s="11" t="s">
        <v>351</v>
      </c>
      <c r="G23" s="11" t="s">
        <v>391</v>
      </c>
      <c r="H23" s="11" t="s">
        <v>270</v>
      </c>
      <c r="I23" s="11" t="s">
        <v>392</v>
      </c>
      <c r="J23" s="12" t="s">
        <v>791</v>
      </c>
      <c r="K23" s="11" t="s">
        <v>156</v>
      </c>
      <c r="L23" s="11" t="s">
        <v>299</v>
      </c>
      <c r="M23" s="11"/>
      <c r="N23" s="9" t="s">
        <v>823</v>
      </c>
      <c r="O23" s="9" t="s">
        <v>824</v>
      </c>
    </row>
    <row r="24" spans="1:15" ht="30" x14ac:dyDescent="0.25">
      <c r="A24" s="13" t="s">
        <v>393</v>
      </c>
      <c r="B24" s="13" t="s">
        <v>115</v>
      </c>
      <c r="C24" s="13" t="s">
        <v>177</v>
      </c>
      <c r="D24" s="13" t="s">
        <v>111</v>
      </c>
      <c r="E24" s="13" t="s">
        <v>394</v>
      </c>
      <c r="F24" s="13" t="s">
        <v>351</v>
      </c>
      <c r="G24" s="13" t="s">
        <v>395</v>
      </c>
      <c r="H24" s="13" t="s">
        <v>270</v>
      </c>
      <c r="I24" s="13" t="s">
        <v>396</v>
      </c>
      <c r="J24" s="12" t="s">
        <v>792</v>
      </c>
      <c r="K24" s="13" t="s">
        <v>156</v>
      </c>
      <c r="L24" s="13" t="s">
        <v>299</v>
      </c>
      <c r="M24" s="13"/>
      <c r="N24" s="9" t="s">
        <v>823</v>
      </c>
      <c r="O24" s="9" t="s">
        <v>824</v>
      </c>
    </row>
    <row r="25" spans="1:15" ht="30" x14ac:dyDescent="0.25">
      <c r="A25" s="11" t="s">
        <v>397</v>
      </c>
      <c r="B25" s="11" t="s">
        <v>113</v>
      </c>
      <c r="C25" s="11" t="s">
        <v>179</v>
      </c>
      <c r="D25" s="11" t="s">
        <v>111</v>
      </c>
      <c r="E25" s="11" t="s">
        <v>398</v>
      </c>
      <c r="F25" s="11" t="s">
        <v>399</v>
      </c>
      <c r="G25" s="11" t="s">
        <v>400</v>
      </c>
      <c r="H25" s="11" t="s">
        <v>270</v>
      </c>
      <c r="I25" s="11" t="s">
        <v>401</v>
      </c>
      <c r="J25" s="12" t="s">
        <v>793</v>
      </c>
      <c r="K25" s="11" t="s">
        <v>156</v>
      </c>
      <c r="L25" s="11" t="s">
        <v>299</v>
      </c>
      <c r="M25" s="11"/>
      <c r="N25" s="9" t="s">
        <v>823</v>
      </c>
      <c r="O25" s="9" t="s">
        <v>824</v>
      </c>
    </row>
    <row r="26" spans="1:15" ht="45" x14ac:dyDescent="0.25">
      <c r="A26" s="13" t="s">
        <v>402</v>
      </c>
      <c r="B26" s="13" t="s">
        <v>117</v>
      </c>
      <c r="C26" s="13" t="s">
        <v>181</v>
      </c>
      <c r="D26" s="13" t="s">
        <v>111</v>
      </c>
      <c r="E26" s="13" t="s">
        <v>403</v>
      </c>
      <c r="F26" s="13" t="s">
        <v>351</v>
      </c>
      <c r="G26" s="13" t="s">
        <v>404</v>
      </c>
      <c r="H26" s="13" t="s">
        <v>275</v>
      </c>
      <c r="I26" s="13" t="s">
        <v>405</v>
      </c>
      <c r="J26" s="12" t="s">
        <v>794</v>
      </c>
      <c r="K26" s="13" t="s">
        <v>156</v>
      </c>
      <c r="L26" s="13" t="s">
        <v>299</v>
      </c>
      <c r="M26" s="13"/>
      <c r="N26" s="9" t="s">
        <v>823</v>
      </c>
      <c r="O26" s="9" t="s">
        <v>824</v>
      </c>
    </row>
    <row r="27" spans="1:15" x14ac:dyDescent="0.25">
      <c r="A27" s="11" t="s">
        <v>406</v>
      </c>
      <c r="B27" s="11" t="s">
        <v>117</v>
      </c>
      <c r="C27" s="11" t="s">
        <v>181</v>
      </c>
      <c r="D27" s="11" t="s">
        <v>111</v>
      </c>
      <c r="E27" s="11" t="s">
        <v>407</v>
      </c>
      <c r="F27" s="11" t="s">
        <v>408</v>
      </c>
      <c r="G27" s="11" t="s">
        <v>409</v>
      </c>
      <c r="H27" s="11" t="s">
        <v>275</v>
      </c>
      <c r="I27" s="11" t="s">
        <v>410</v>
      </c>
      <c r="J27" s="12" t="s">
        <v>795</v>
      </c>
      <c r="K27" s="11" t="s">
        <v>156</v>
      </c>
      <c r="L27" s="11" t="s">
        <v>299</v>
      </c>
      <c r="M27" s="11"/>
      <c r="N27" s="9" t="s">
        <v>823</v>
      </c>
      <c r="O27" s="9" t="s">
        <v>824</v>
      </c>
    </row>
    <row r="28" spans="1:15" ht="45" x14ac:dyDescent="0.25">
      <c r="A28" s="13" t="s">
        <v>411</v>
      </c>
      <c r="B28" s="13" t="s">
        <v>117</v>
      </c>
      <c r="C28" s="13" t="s">
        <v>185</v>
      </c>
      <c r="D28" s="13" t="s">
        <v>111</v>
      </c>
      <c r="E28" s="13" t="s">
        <v>412</v>
      </c>
      <c r="F28" s="13" t="s">
        <v>413</v>
      </c>
      <c r="G28" s="13" t="s">
        <v>414</v>
      </c>
      <c r="H28" s="13" t="s">
        <v>270</v>
      </c>
      <c r="I28" s="13" t="s">
        <v>415</v>
      </c>
      <c r="J28" s="12" t="s">
        <v>796</v>
      </c>
      <c r="K28" s="13" t="s">
        <v>156</v>
      </c>
      <c r="L28" s="13" t="s">
        <v>299</v>
      </c>
      <c r="M28" s="13"/>
      <c r="N28" s="9" t="s">
        <v>823</v>
      </c>
      <c r="O28" s="9" t="s">
        <v>824</v>
      </c>
    </row>
    <row r="29" spans="1:15" x14ac:dyDescent="0.25">
      <c r="A29" s="11" t="s">
        <v>416</v>
      </c>
      <c r="B29" s="11" t="s">
        <v>119</v>
      </c>
      <c r="C29" s="11" t="s">
        <v>183</v>
      </c>
      <c r="D29" s="11" t="s">
        <v>111</v>
      </c>
      <c r="E29" s="11" t="s">
        <v>417</v>
      </c>
      <c r="F29" s="11" t="s">
        <v>418</v>
      </c>
      <c r="G29" s="11" t="s">
        <v>419</v>
      </c>
      <c r="H29" s="11" t="s">
        <v>420</v>
      </c>
      <c r="I29" s="11" t="s">
        <v>421</v>
      </c>
      <c r="J29" s="12" t="s">
        <v>797</v>
      </c>
      <c r="K29" s="11" t="s">
        <v>156</v>
      </c>
      <c r="L29" s="11" t="s">
        <v>299</v>
      </c>
      <c r="M29" s="11"/>
      <c r="N29" s="9" t="s">
        <v>823</v>
      </c>
      <c r="O29" s="9" t="s">
        <v>824</v>
      </c>
    </row>
    <row r="30" spans="1:15" ht="45" x14ac:dyDescent="0.25">
      <c r="A30" s="13" t="s">
        <v>422</v>
      </c>
      <c r="B30" s="13" t="s">
        <v>113</v>
      </c>
      <c r="C30" s="13" t="s">
        <v>179</v>
      </c>
      <c r="D30" s="13" t="s">
        <v>111</v>
      </c>
      <c r="E30" s="13" t="s">
        <v>423</v>
      </c>
      <c r="F30" s="13" t="s">
        <v>424</v>
      </c>
      <c r="G30" s="13" t="s">
        <v>425</v>
      </c>
      <c r="H30" s="13" t="s">
        <v>275</v>
      </c>
      <c r="I30" s="13" t="s">
        <v>426</v>
      </c>
      <c r="J30" s="12" t="s">
        <v>798</v>
      </c>
      <c r="K30" s="13" t="s">
        <v>156</v>
      </c>
      <c r="L30" s="13" t="s">
        <v>299</v>
      </c>
      <c r="M30" s="13"/>
      <c r="N30" s="9" t="s">
        <v>823</v>
      </c>
      <c r="O30" s="9" t="s">
        <v>824</v>
      </c>
    </row>
    <row r="31" spans="1:15" x14ac:dyDescent="0.25">
      <c r="A31" s="11" t="s">
        <v>427</v>
      </c>
      <c r="B31" s="11" t="s">
        <v>115</v>
      </c>
      <c r="C31" s="11" t="s">
        <v>177</v>
      </c>
      <c r="D31" s="11" t="s">
        <v>111</v>
      </c>
      <c r="E31" s="11" t="s">
        <v>428</v>
      </c>
      <c r="F31" s="11" t="s">
        <v>429</v>
      </c>
      <c r="G31" s="11" t="s">
        <v>430</v>
      </c>
      <c r="H31" s="11" t="s">
        <v>270</v>
      </c>
      <c r="I31" s="11" t="s">
        <v>431</v>
      </c>
      <c r="J31" s="12" t="s">
        <v>799</v>
      </c>
      <c r="K31" s="11" t="s">
        <v>156</v>
      </c>
      <c r="L31" s="11" t="s">
        <v>299</v>
      </c>
      <c r="M31" s="11"/>
      <c r="N31" s="9" t="s">
        <v>823</v>
      </c>
      <c r="O31" s="9" t="s">
        <v>824</v>
      </c>
    </row>
    <row r="32" spans="1:15" ht="45" x14ac:dyDescent="0.25">
      <c r="A32" s="13" t="s">
        <v>432</v>
      </c>
      <c r="B32" s="13" t="s">
        <v>143</v>
      </c>
      <c r="C32" s="13" t="s">
        <v>207</v>
      </c>
      <c r="D32" s="13" t="s">
        <v>111</v>
      </c>
      <c r="E32" s="13" t="s">
        <v>433</v>
      </c>
      <c r="F32" s="13" t="s">
        <v>434</v>
      </c>
      <c r="G32" s="13" t="s">
        <v>435</v>
      </c>
      <c r="H32" s="13" t="s">
        <v>270</v>
      </c>
      <c r="I32" s="13" t="s">
        <v>436</v>
      </c>
      <c r="J32" s="12" t="s">
        <v>800</v>
      </c>
      <c r="K32" s="13" t="s">
        <v>156</v>
      </c>
      <c r="L32" s="13" t="s">
        <v>299</v>
      </c>
      <c r="M32" s="13"/>
      <c r="N32" s="9" t="s">
        <v>823</v>
      </c>
      <c r="O32" s="9" t="s">
        <v>824</v>
      </c>
    </row>
    <row r="33" spans="1:15" ht="30" x14ac:dyDescent="0.25">
      <c r="A33" s="11" t="s">
        <v>437</v>
      </c>
      <c r="B33" s="11" t="s">
        <v>121</v>
      </c>
      <c r="C33" s="11" t="s">
        <v>188</v>
      </c>
      <c r="D33" s="11" t="s">
        <v>122</v>
      </c>
      <c r="E33" s="11" t="s">
        <v>438</v>
      </c>
      <c r="F33" s="11" t="s">
        <v>439</v>
      </c>
      <c r="G33" s="11" t="s">
        <v>440</v>
      </c>
      <c r="H33" s="11" t="s">
        <v>270</v>
      </c>
      <c r="I33" s="11" t="s">
        <v>441</v>
      </c>
      <c r="J33" s="12" t="s">
        <v>801</v>
      </c>
      <c r="K33" s="11" t="s">
        <v>156</v>
      </c>
      <c r="L33" s="11" t="s">
        <v>299</v>
      </c>
      <c r="M33" s="11"/>
      <c r="N33" s="9" t="s">
        <v>823</v>
      </c>
      <c r="O33" s="9" t="s">
        <v>824</v>
      </c>
    </row>
    <row r="34" spans="1:15" ht="60" x14ac:dyDescent="0.25">
      <c r="A34" s="13" t="s">
        <v>442</v>
      </c>
      <c r="B34" s="13" t="s">
        <v>121</v>
      </c>
      <c r="C34" s="13" t="s">
        <v>188</v>
      </c>
      <c r="D34" s="13" t="s">
        <v>122</v>
      </c>
      <c r="E34" s="13" t="s">
        <v>443</v>
      </c>
      <c r="F34" s="13" t="s">
        <v>444</v>
      </c>
      <c r="G34" s="13" t="s">
        <v>445</v>
      </c>
      <c r="H34" s="13" t="s">
        <v>446</v>
      </c>
      <c r="I34" s="13" t="s">
        <v>447</v>
      </c>
      <c r="J34" s="12" t="s">
        <v>802</v>
      </c>
      <c r="K34" s="13" t="s">
        <v>156</v>
      </c>
      <c r="L34" s="13" t="s">
        <v>299</v>
      </c>
      <c r="M34" s="13"/>
      <c r="N34" s="9" t="s">
        <v>823</v>
      </c>
      <c r="O34" s="9" t="s">
        <v>824</v>
      </c>
    </row>
    <row r="35" spans="1:15" ht="45" x14ac:dyDescent="0.25">
      <c r="A35" s="11" t="s">
        <v>448</v>
      </c>
      <c r="B35" s="11" t="s">
        <v>124</v>
      </c>
      <c r="C35" s="11" t="s">
        <v>190</v>
      </c>
      <c r="D35" s="11" t="s">
        <v>122</v>
      </c>
      <c r="E35" s="11" t="s">
        <v>251</v>
      </c>
      <c r="F35" s="11" t="s">
        <v>444</v>
      </c>
      <c r="G35" s="11" t="s">
        <v>449</v>
      </c>
      <c r="H35" s="11" t="s">
        <v>450</v>
      </c>
      <c r="I35" s="11" t="s">
        <v>451</v>
      </c>
      <c r="J35" s="12" t="s">
        <v>803</v>
      </c>
      <c r="K35" s="11" t="s">
        <v>156</v>
      </c>
      <c r="L35" s="11" t="s">
        <v>299</v>
      </c>
      <c r="M35" s="11"/>
      <c r="N35" s="9" t="s">
        <v>823</v>
      </c>
      <c r="O35" s="9" t="s">
        <v>824</v>
      </c>
    </row>
    <row r="36" spans="1:15" ht="60" x14ac:dyDescent="0.25">
      <c r="A36" s="13" t="s">
        <v>452</v>
      </c>
      <c r="B36" s="13" t="s">
        <v>124</v>
      </c>
      <c r="C36" s="13" t="s">
        <v>192</v>
      </c>
      <c r="D36" s="13" t="s">
        <v>122</v>
      </c>
      <c r="E36" s="13" t="s">
        <v>253</v>
      </c>
      <c r="F36" s="13" t="s">
        <v>444</v>
      </c>
      <c r="G36" s="13" t="s">
        <v>453</v>
      </c>
      <c r="H36" s="13" t="s">
        <v>454</v>
      </c>
      <c r="I36" s="13" t="s">
        <v>455</v>
      </c>
      <c r="J36" s="12" t="s">
        <v>804</v>
      </c>
      <c r="K36" s="13" t="s">
        <v>156</v>
      </c>
      <c r="L36" s="13" t="s">
        <v>299</v>
      </c>
      <c r="M36" s="13"/>
      <c r="N36" s="9" t="s">
        <v>823</v>
      </c>
      <c r="O36" s="9" t="s">
        <v>824</v>
      </c>
    </row>
    <row r="37" spans="1:15" ht="60" x14ac:dyDescent="0.25">
      <c r="A37" s="11" t="s">
        <v>456</v>
      </c>
      <c r="B37" s="11" t="s">
        <v>124</v>
      </c>
      <c r="C37" s="11" t="s">
        <v>194</v>
      </c>
      <c r="D37" s="11" t="s">
        <v>122</v>
      </c>
      <c r="E37" s="11" t="s">
        <v>255</v>
      </c>
      <c r="F37" s="11" t="s">
        <v>444</v>
      </c>
      <c r="G37" s="11" t="s">
        <v>457</v>
      </c>
      <c r="H37" s="11" t="s">
        <v>458</v>
      </c>
      <c r="I37" s="11" t="s">
        <v>459</v>
      </c>
      <c r="J37" s="12" t="s">
        <v>805</v>
      </c>
      <c r="K37" s="11" t="s">
        <v>156</v>
      </c>
      <c r="L37" s="11" t="s">
        <v>299</v>
      </c>
      <c r="M37" s="11"/>
      <c r="N37" s="9" t="s">
        <v>823</v>
      </c>
      <c r="O37" s="9" t="s">
        <v>824</v>
      </c>
    </row>
    <row r="38" spans="1:15" ht="30" x14ac:dyDescent="0.25">
      <c r="A38" s="13" t="s">
        <v>460</v>
      </c>
      <c r="B38" s="13" t="s">
        <v>124</v>
      </c>
      <c r="C38" s="13" t="s">
        <v>190</v>
      </c>
      <c r="D38" s="13" t="s">
        <v>122</v>
      </c>
      <c r="E38" s="13" t="s">
        <v>461</v>
      </c>
      <c r="F38" s="13" t="s">
        <v>444</v>
      </c>
      <c r="G38" s="13" t="s">
        <v>462</v>
      </c>
      <c r="H38" s="13" t="s">
        <v>463</v>
      </c>
      <c r="I38" s="13" t="s">
        <v>464</v>
      </c>
      <c r="J38" s="12" t="s">
        <v>776</v>
      </c>
      <c r="K38" s="13" t="s">
        <v>156</v>
      </c>
      <c r="L38" s="13" t="s">
        <v>299</v>
      </c>
      <c r="M38" s="13"/>
      <c r="N38" s="9" t="s">
        <v>823</v>
      </c>
      <c r="O38" s="9" t="s">
        <v>824</v>
      </c>
    </row>
    <row r="39" spans="1:15" ht="45" x14ac:dyDescent="0.25">
      <c r="A39" s="11" t="s">
        <v>465</v>
      </c>
      <c r="B39" s="11" t="s">
        <v>126</v>
      </c>
      <c r="C39" s="11" t="s">
        <v>196</v>
      </c>
      <c r="D39" s="11" t="s">
        <v>122</v>
      </c>
      <c r="E39" s="11" t="s">
        <v>263</v>
      </c>
      <c r="F39" s="11" t="s">
        <v>444</v>
      </c>
      <c r="G39" s="11" t="s">
        <v>466</v>
      </c>
      <c r="H39" s="11" t="s">
        <v>262</v>
      </c>
      <c r="I39" s="11" t="s">
        <v>467</v>
      </c>
      <c r="J39" s="12" t="s">
        <v>806</v>
      </c>
      <c r="K39" s="11" t="s">
        <v>156</v>
      </c>
      <c r="L39" s="11" t="s">
        <v>299</v>
      </c>
      <c r="M39" s="11"/>
      <c r="N39" s="9" t="s">
        <v>823</v>
      </c>
      <c r="O39" s="9" t="s">
        <v>824</v>
      </c>
    </row>
    <row r="40" spans="1:15" ht="45" x14ac:dyDescent="0.25">
      <c r="A40" s="13" t="s">
        <v>468</v>
      </c>
      <c r="B40" s="13" t="s">
        <v>126</v>
      </c>
      <c r="C40" s="13" t="s">
        <v>196</v>
      </c>
      <c r="D40" s="13" t="s">
        <v>122</v>
      </c>
      <c r="E40" s="13" t="s">
        <v>469</v>
      </c>
      <c r="F40" s="13" t="s">
        <v>444</v>
      </c>
      <c r="G40" s="13" t="s">
        <v>470</v>
      </c>
      <c r="H40" s="13" t="s">
        <v>256</v>
      </c>
      <c r="I40" s="13" t="s">
        <v>471</v>
      </c>
      <c r="J40" s="12" t="s">
        <v>807</v>
      </c>
      <c r="K40" s="13" t="s">
        <v>156</v>
      </c>
      <c r="L40" s="13" t="s">
        <v>299</v>
      </c>
      <c r="M40" s="13"/>
      <c r="N40" s="9" t="s">
        <v>823</v>
      </c>
      <c r="O40" s="9" t="s">
        <v>824</v>
      </c>
    </row>
    <row r="41" spans="1:15" ht="45" x14ac:dyDescent="0.25">
      <c r="A41" s="11" t="s">
        <v>472</v>
      </c>
      <c r="B41" s="11" t="s">
        <v>126</v>
      </c>
      <c r="C41" s="11" t="s">
        <v>196</v>
      </c>
      <c r="D41" s="11" t="s">
        <v>122</v>
      </c>
      <c r="E41" s="11" t="s">
        <v>473</v>
      </c>
      <c r="F41" s="11" t="s">
        <v>444</v>
      </c>
      <c r="G41" s="11" t="s">
        <v>474</v>
      </c>
      <c r="H41" s="11" t="s">
        <v>260</v>
      </c>
      <c r="I41" s="11" t="s">
        <v>475</v>
      </c>
      <c r="J41" s="12" t="s">
        <v>808</v>
      </c>
      <c r="K41" s="11" t="s">
        <v>156</v>
      </c>
      <c r="L41" s="11" t="s">
        <v>299</v>
      </c>
      <c r="M41" s="11"/>
      <c r="N41" s="9" t="s">
        <v>823</v>
      </c>
      <c r="O41" s="9" t="s">
        <v>824</v>
      </c>
    </row>
    <row r="42" spans="1:15" ht="45" x14ac:dyDescent="0.25">
      <c r="A42" s="13" t="s">
        <v>476</v>
      </c>
      <c r="B42" s="13" t="s">
        <v>126</v>
      </c>
      <c r="C42" s="13" t="s">
        <v>196</v>
      </c>
      <c r="D42" s="13" t="s">
        <v>122</v>
      </c>
      <c r="E42" s="13" t="s">
        <v>477</v>
      </c>
      <c r="F42" s="13" t="s">
        <v>444</v>
      </c>
      <c r="G42" s="13" t="s">
        <v>478</v>
      </c>
      <c r="H42" s="13" t="s">
        <v>266</v>
      </c>
      <c r="I42" s="13" t="s">
        <v>479</v>
      </c>
      <c r="J42" s="12" t="s">
        <v>809</v>
      </c>
      <c r="K42" s="13" t="s">
        <v>156</v>
      </c>
      <c r="L42" s="13" t="s">
        <v>299</v>
      </c>
      <c r="M42" s="13"/>
      <c r="N42" s="9" t="s">
        <v>823</v>
      </c>
      <c r="O42" s="9" t="s">
        <v>824</v>
      </c>
    </row>
    <row r="43" spans="1:15" ht="30" x14ac:dyDescent="0.25">
      <c r="A43" s="11" t="s">
        <v>480</v>
      </c>
      <c r="B43" s="11" t="s">
        <v>128</v>
      </c>
      <c r="C43" s="11" t="s">
        <v>199</v>
      </c>
      <c r="D43" s="11" t="s">
        <v>129</v>
      </c>
      <c r="E43" s="11" t="s">
        <v>481</v>
      </c>
      <c r="F43" s="11" t="s">
        <v>482</v>
      </c>
      <c r="G43" s="11" t="s">
        <v>483</v>
      </c>
      <c r="H43" s="11" t="s">
        <v>270</v>
      </c>
      <c r="I43" s="11" t="s">
        <v>484</v>
      </c>
      <c r="J43" s="12" t="s">
        <v>810</v>
      </c>
      <c r="K43" s="11" t="s">
        <v>156</v>
      </c>
      <c r="L43" s="11" t="s">
        <v>299</v>
      </c>
      <c r="M43" s="11"/>
      <c r="N43" s="9" t="s">
        <v>823</v>
      </c>
      <c r="O43" s="9" t="s">
        <v>824</v>
      </c>
    </row>
    <row r="44" spans="1:15" ht="30" x14ac:dyDescent="0.25">
      <c r="A44" s="13" t="s">
        <v>485</v>
      </c>
      <c r="B44" s="13" t="s">
        <v>128</v>
      </c>
      <c r="C44" s="13" t="s">
        <v>199</v>
      </c>
      <c r="D44" s="13" t="s">
        <v>129</v>
      </c>
      <c r="E44" s="13" t="s">
        <v>486</v>
      </c>
      <c r="F44" s="13" t="s">
        <v>487</v>
      </c>
      <c r="G44" s="13" t="s">
        <v>483</v>
      </c>
      <c r="H44" s="13" t="s">
        <v>275</v>
      </c>
      <c r="I44" s="13" t="s">
        <v>488</v>
      </c>
      <c r="J44" s="12" t="s">
        <v>811</v>
      </c>
      <c r="K44" s="13" t="s">
        <v>156</v>
      </c>
      <c r="L44" s="13" t="s">
        <v>299</v>
      </c>
      <c r="M44" s="13"/>
      <c r="N44" s="9" t="s">
        <v>823</v>
      </c>
      <c r="O44" s="9" t="s">
        <v>824</v>
      </c>
    </row>
    <row r="45" spans="1:15" ht="30" x14ac:dyDescent="0.25">
      <c r="A45" s="11" t="s">
        <v>489</v>
      </c>
      <c r="B45" s="11" t="s">
        <v>131</v>
      </c>
      <c r="C45" s="11" t="s">
        <v>201</v>
      </c>
      <c r="D45" s="11" t="s">
        <v>129</v>
      </c>
      <c r="E45" s="11" t="s">
        <v>490</v>
      </c>
      <c r="F45" s="11" t="s">
        <v>491</v>
      </c>
      <c r="G45" s="11" t="s">
        <v>492</v>
      </c>
      <c r="H45" s="11" t="s">
        <v>279</v>
      </c>
      <c r="I45" s="11" t="s">
        <v>493</v>
      </c>
      <c r="J45" s="12" t="s">
        <v>812</v>
      </c>
      <c r="K45" s="11" t="s">
        <v>156</v>
      </c>
      <c r="L45" s="11" t="s">
        <v>299</v>
      </c>
      <c r="M45" s="11"/>
      <c r="N45" s="9" t="s">
        <v>823</v>
      </c>
      <c r="O45" s="9" t="s">
        <v>824</v>
      </c>
    </row>
    <row r="46" spans="1:15" ht="30" x14ac:dyDescent="0.25">
      <c r="A46" s="13" t="s">
        <v>494</v>
      </c>
      <c r="B46" s="13" t="s">
        <v>131</v>
      </c>
      <c r="C46" s="13" t="s">
        <v>201</v>
      </c>
      <c r="D46" s="13" t="s">
        <v>129</v>
      </c>
      <c r="E46" s="13" t="s">
        <v>495</v>
      </c>
      <c r="F46" s="13" t="s">
        <v>496</v>
      </c>
      <c r="G46" s="13" t="s">
        <v>497</v>
      </c>
      <c r="H46" s="13" t="s">
        <v>279</v>
      </c>
      <c r="I46" s="13" t="s">
        <v>498</v>
      </c>
      <c r="J46" s="12" t="s">
        <v>813</v>
      </c>
      <c r="K46" s="13" t="s">
        <v>156</v>
      </c>
      <c r="L46" s="13" t="s">
        <v>299</v>
      </c>
      <c r="M46" s="13"/>
      <c r="N46" s="9" t="s">
        <v>823</v>
      </c>
      <c r="O46" s="9" t="s">
        <v>824</v>
      </c>
    </row>
    <row r="47" spans="1:15" ht="45" x14ac:dyDescent="0.25">
      <c r="A47" s="11" t="s">
        <v>499</v>
      </c>
      <c r="B47" s="11" t="s">
        <v>131</v>
      </c>
      <c r="C47" s="11" t="s">
        <v>201</v>
      </c>
      <c r="D47" s="11" t="s">
        <v>129</v>
      </c>
      <c r="E47" s="11" t="s">
        <v>500</v>
      </c>
      <c r="F47" s="11" t="s">
        <v>491</v>
      </c>
      <c r="G47" s="11" t="s">
        <v>501</v>
      </c>
      <c r="H47" s="11" t="s">
        <v>279</v>
      </c>
      <c r="I47" s="11" t="s">
        <v>502</v>
      </c>
      <c r="J47" s="12" t="s">
        <v>814</v>
      </c>
      <c r="K47" s="11" t="s">
        <v>156</v>
      </c>
      <c r="L47" s="11" t="s">
        <v>299</v>
      </c>
      <c r="M47" s="11"/>
      <c r="N47" s="9" t="s">
        <v>823</v>
      </c>
      <c r="O47" s="9" t="s">
        <v>824</v>
      </c>
    </row>
    <row r="48" spans="1:15" ht="30" x14ac:dyDescent="0.25">
      <c r="A48" s="13" t="s">
        <v>503</v>
      </c>
      <c r="B48" s="13" t="s">
        <v>133</v>
      </c>
      <c r="C48" s="13" t="s">
        <v>203</v>
      </c>
      <c r="D48" s="13" t="s">
        <v>129</v>
      </c>
      <c r="E48" s="13" t="s">
        <v>504</v>
      </c>
      <c r="F48" s="13" t="s">
        <v>491</v>
      </c>
      <c r="G48" s="13" t="s">
        <v>505</v>
      </c>
      <c r="H48" s="13" t="s">
        <v>506</v>
      </c>
      <c r="I48" s="13" t="s">
        <v>507</v>
      </c>
      <c r="J48" s="12" t="s">
        <v>815</v>
      </c>
      <c r="K48" s="13" t="s">
        <v>156</v>
      </c>
      <c r="L48" s="13" t="s">
        <v>299</v>
      </c>
      <c r="M48" s="13"/>
      <c r="N48" s="9" t="s">
        <v>823</v>
      </c>
      <c r="O48" s="9" t="s">
        <v>824</v>
      </c>
    </row>
    <row r="49" spans="1:15" ht="30" x14ac:dyDescent="0.25">
      <c r="A49" s="11" t="s">
        <v>508</v>
      </c>
      <c r="B49" s="11" t="s">
        <v>133</v>
      </c>
      <c r="C49" s="11" t="s">
        <v>203</v>
      </c>
      <c r="D49" s="11" t="s">
        <v>129</v>
      </c>
      <c r="E49" s="11" t="s">
        <v>509</v>
      </c>
      <c r="F49" s="11" t="s">
        <v>510</v>
      </c>
      <c r="G49" s="11" t="s">
        <v>511</v>
      </c>
      <c r="H49" s="11" t="s">
        <v>506</v>
      </c>
      <c r="I49" s="11" t="s">
        <v>512</v>
      </c>
      <c r="J49" s="12" t="s">
        <v>816</v>
      </c>
      <c r="K49" s="11" t="s">
        <v>156</v>
      </c>
      <c r="L49" s="11" t="s">
        <v>299</v>
      </c>
      <c r="M49" s="11"/>
      <c r="N49" s="9" t="s">
        <v>823</v>
      </c>
      <c r="O49" s="9" t="s">
        <v>824</v>
      </c>
    </row>
    <row r="50" spans="1:15" ht="30" customHeight="1" x14ac:dyDescent="0.25">
      <c r="A50" s="13" t="s">
        <v>513</v>
      </c>
      <c r="B50" s="13" t="s">
        <v>135</v>
      </c>
      <c r="C50" s="13" t="s">
        <v>205</v>
      </c>
      <c r="D50" s="13" t="s">
        <v>136</v>
      </c>
      <c r="E50" s="13" t="s">
        <v>514</v>
      </c>
      <c r="F50" s="13" t="s">
        <v>515</v>
      </c>
      <c r="G50" s="13" t="s">
        <v>516</v>
      </c>
      <c r="H50" s="13" t="s">
        <v>506</v>
      </c>
      <c r="I50" s="13" t="s">
        <v>517</v>
      </c>
      <c r="J50" s="12" t="s">
        <v>817</v>
      </c>
      <c r="K50" s="13" t="s">
        <v>156</v>
      </c>
      <c r="L50" s="13" t="s">
        <v>299</v>
      </c>
      <c r="M50" s="13"/>
      <c r="N50" s="9" t="s">
        <v>823</v>
      </c>
      <c r="O50" s="9" t="s">
        <v>824</v>
      </c>
    </row>
    <row r="51" spans="1:15" ht="30" x14ac:dyDescent="0.25">
      <c r="A51" s="11" t="s">
        <v>518</v>
      </c>
      <c r="B51" s="11" t="s">
        <v>138</v>
      </c>
      <c r="C51" s="11" t="s">
        <v>205</v>
      </c>
      <c r="D51" s="11" t="s">
        <v>136</v>
      </c>
      <c r="E51" s="11" t="s">
        <v>519</v>
      </c>
      <c r="F51" s="11" t="s">
        <v>520</v>
      </c>
      <c r="G51" s="11" t="s">
        <v>521</v>
      </c>
      <c r="H51" s="11" t="s">
        <v>506</v>
      </c>
      <c r="I51" s="11" t="s">
        <v>522</v>
      </c>
      <c r="J51" s="12" t="s">
        <v>818</v>
      </c>
      <c r="K51" s="11" t="s">
        <v>156</v>
      </c>
      <c r="L51" s="11" t="s">
        <v>299</v>
      </c>
      <c r="M51" s="11"/>
      <c r="N51" s="9" t="s">
        <v>823</v>
      </c>
      <c r="O51" s="9" t="s">
        <v>824</v>
      </c>
    </row>
    <row r="52" spans="1:15" ht="120" x14ac:dyDescent="0.25">
      <c r="A52" s="13" t="s">
        <v>523</v>
      </c>
      <c r="B52" s="13" t="s">
        <v>135</v>
      </c>
      <c r="C52" s="13" t="s">
        <v>205</v>
      </c>
      <c r="D52" s="13" t="s">
        <v>136</v>
      </c>
      <c r="E52" s="13" t="s">
        <v>524</v>
      </c>
      <c r="F52" s="13" t="s">
        <v>525</v>
      </c>
      <c r="G52" s="13" t="s">
        <v>526</v>
      </c>
      <c r="H52" s="13" t="s">
        <v>527</v>
      </c>
      <c r="I52" s="13" t="s">
        <v>528</v>
      </c>
      <c r="J52" s="12" t="s">
        <v>819</v>
      </c>
      <c r="K52" s="13" t="s">
        <v>156</v>
      </c>
      <c r="L52" s="13" t="s">
        <v>299</v>
      </c>
      <c r="M52" s="13"/>
      <c r="N52" s="9" t="s">
        <v>823</v>
      </c>
      <c r="O52" s="9" t="s">
        <v>824</v>
      </c>
    </row>
    <row r="53" spans="1:15" ht="45" x14ac:dyDescent="0.25">
      <c r="A53" s="11" t="s">
        <v>529</v>
      </c>
      <c r="B53" s="11" t="s">
        <v>140</v>
      </c>
      <c r="C53" s="11" t="s">
        <v>207</v>
      </c>
      <c r="D53" s="11" t="s">
        <v>141</v>
      </c>
      <c r="E53" s="11" t="s">
        <v>530</v>
      </c>
      <c r="F53" s="11" t="s">
        <v>335</v>
      </c>
      <c r="G53" s="11" t="s">
        <v>531</v>
      </c>
      <c r="H53" s="11" t="s">
        <v>337</v>
      </c>
      <c r="I53" s="11" t="s">
        <v>532</v>
      </c>
      <c r="J53" s="12" t="s">
        <v>820</v>
      </c>
      <c r="K53" s="11" t="s">
        <v>156</v>
      </c>
      <c r="L53" s="11" t="s">
        <v>299</v>
      </c>
      <c r="M53" s="11"/>
      <c r="N53" s="9" t="s">
        <v>823</v>
      </c>
      <c r="O53" s="9" t="s">
        <v>824</v>
      </c>
    </row>
    <row r="54" spans="1:15" x14ac:dyDescent="0.25">
      <c r="A54" s="13" t="s">
        <v>533</v>
      </c>
      <c r="B54" s="13" t="s">
        <v>140</v>
      </c>
      <c r="C54" s="13" t="s">
        <v>207</v>
      </c>
      <c r="D54" s="13" t="s">
        <v>141</v>
      </c>
      <c r="E54" s="13" t="s">
        <v>534</v>
      </c>
      <c r="F54" s="13" t="s">
        <v>535</v>
      </c>
      <c r="G54" s="13" t="s">
        <v>536</v>
      </c>
      <c r="H54" s="13" t="s">
        <v>337</v>
      </c>
      <c r="I54" s="13" t="s">
        <v>537</v>
      </c>
      <c r="J54" s="12" t="s">
        <v>821</v>
      </c>
      <c r="K54" s="13" t="s">
        <v>156</v>
      </c>
      <c r="L54" s="13" t="s">
        <v>299</v>
      </c>
      <c r="M54" s="13"/>
      <c r="N54" s="9" t="s">
        <v>823</v>
      </c>
      <c r="O54" s="9" t="s">
        <v>824</v>
      </c>
    </row>
    <row r="55" spans="1:15" ht="30" x14ac:dyDescent="0.25">
      <c r="A55" s="11" t="s">
        <v>538</v>
      </c>
      <c r="B55" s="11" t="s">
        <v>143</v>
      </c>
      <c r="C55" s="11" t="s">
        <v>207</v>
      </c>
      <c r="D55" s="11" t="s">
        <v>141</v>
      </c>
      <c r="E55" s="11" t="s">
        <v>539</v>
      </c>
      <c r="F55" s="11" t="s">
        <v>335</v>
      </c>
      <c r="G55" s="11" t="s">
        <v>336</v>
      </c>
      <c r="H55" s="11" t="s">
        <v>337</v>
      </c>
      <c r="I55" s="11" t="s">
        <v>540</v>
      </c>
      <c r="J55" s="12" t="s">
        <v>781</v>
      </c>
      <c r="K55" s="11" t="s">
        <v>156</v>
      </c>
      <c r="L55" s="11" t="s">
        <v>299</v>
      </c>
      <c r="M55" s="11"/>
      <c r="N55" s="9" t="s">
        <v>823</v>
      </c>
      <c r="O55" s="9" t="s">
        <v>824</v>
      </c>
    </row>
    <row r="56" spans="1:15" ht="45" x14ac:dyDescent="0.25">
      <c r="A56" s="13" t="s">
        <v>541</v>
      </c>
      <c r="B56" s="13" t="s">
        <v>143</v>
      </c>
      <c r="C56" s="13" t="s">
        <v>207</v>
      </c>
      <c r="D56" s="13" t="s">
        <v>141</v>
      </c>
      <c r="E56" s="13" t="s">
        <v>542</v>
      </c>
      <c r="F56" s="13" t="s">
        <v>543</v>
      </c>
      <c r="G56" s="13" t="s">
        <v>544</v>
      </c>
      <c r="H56" s="13" t="s">
        <v>270</v>
      </c>
      <c r="I56" s="13" t="s">
        <v>545</v>
      </c>
      <c r="J56" s="12" t="s">
        <v>800</v>
      </c>
      <c r="K56" s="13" t="s">
        <v>156</v>
      </c>
      <c r="L56" s="13" t="s">
        <v>299</v>
      </c>
      <c r="M56" s="13"/>
      <c r="N56" s="9" t="s">
        <v>823</v>
      </c>
      <c r="O56" s="9" t="s">
        <v>824</v>
      </c>
    </row>
    <row r="57" spans="1:15" ht="30" x14ac:dyDescent="0.25">
      <c r="A57" s="11" t="s">
        <v>546</v>
      </c>
      <c r="B57" s="11" t="s">
        <v>145</v>
      </c>
      <c r="C57" s="11" t="s">
        <v>207</v>
      </c>
      <c r="D57" s="11" t="s">
        <v>146</v>
      </c>
      <c r="E57" s="11" t="s">
        <v>547</v>
      </c>
      <c r="F57" s="11" t="s">
        <v>335</v>
      </c>
      <c r="G57" s="11" t="s">
        <v>548</v>
      </c>
      <c r="H57" s="11" t="s">
        <v>549</v>
      </c>
      <c r="I57" s="11" t="s">
        <v>550</v>
      </c>
      <c r="J57" s="12" t="s">
        <v>789</v>
      </c>
      <c r="K57" s="11" t="s">
        <v>156</v>
      </c>
      <c r="L57" s="11" t="s">
        <v>299</v>
      </c>
      <c r="M57" s="11"/>
      <c r="N57" s="9" t="s">
        <v>823</v>
      </c>
      <c r="O57" s="9" t="s">
        <v>824</v>
      </c>
    </row>
    <row r="58" spans="1:15" x14ac:dyDescent="0.25">
      <c r="A58" s="13" t="s">
        <v>551</v>
      </c>
      <c r="B58" s="13" t="s">
        <v>145</v>
      </c>
      <c r="C58" s="13" t="s">
        <v>170</v>
      </c>
      <c r="D58" s="13" t="s">
        <v>146</v>
      </c>
      <c r="E58" s="13" t="s">
        <v>552</v>
      </c>
      <c r="F58" s="13" t="s">
        <v>553</v>
      </c>
      <c r="G58" s="13" t="s">
        <v>554</v>
      </c>
      <c r="H58" s="13" t="s">
        <v>555</v>
      </c>
      <c r="I58" s="13" t="s">
        <v>556</v>
      </c>
      <c r="J58" s="12" t="s">
        <v>789</v>
      </c>
      <c r="K58" s="13" t="s">
        <v>156</v>
      </c>
      <c r="L58" s="13" t="s">
        <v>299</v>
      </c>
      <c r="M58" s="13"/>
      <c r="N58" s="9" t="s">
        <v>823</v>
      </c>
      <c r="O58" s="9" t="s">
        <v>824</v>
      </c>
    </row>
    <row r="59" spans="1:15" ht="30" x14ac:dyDescent="0.25">
      <c r="A59" s="11" t="s">
        <v>557</v>
      </c>
      <c r="B59" s="11" t="s">
        <v>145</v>
      </c>
      <c r="C59" s="11" t="s">
        <v>170</v>
      </c>
      <c r="D59" s="11" t="s">
        <v>146</v>
      </c>
      <c r="E59" s="11" t="s">
        <v>558</v>
      </c>
      <c r="F59" s="11" t="s">
        <v>559</v>
      </c>
      <c r="G59" s="11" t="s">
        <v>560</v>
      </c>
      <c r="H59" s="11" t="s">
        <v>561</v>
      </c>
      <c r="I59" s="11" t="s">
        <v>562</v>
      </c>
      <c r="J59" s="12" t="s">
        <v>822</v>
      </c>
      <c r="K59" s="11" t="s">
        <v>156</v>
      </c>
      <c r="L59" s="11" t="s">
        <v>299</v>
      </c>
      <c r="M59" s="11"/>
      <c r="N59" s="9" t="s">
        <v>823</v>
      </c>
      <c r="O59" s="9" t="s">
        <v>824</v>
      </c>
    </row>
  </sheetData>
  <mergeCells count="1">
    <mergeCell ref="A1:O1"/>
  </mergeCells>
  <conditionalFormatting sqref="L3:L59">
    <cfRule type="expression" dxfId="4" priority="1">
      <formula>L3="Pass"</formula>
    </cfRule>
    <cfRule type="expression" dxfId="3" priority="2">
      <formula>L3="Fail"</formula>
    </cfRule>
    <cfRule type="expression" dxfId="2" priority="3">
      <formula>L3="Blocked"</formula>
    </cfRule>
  </conditionalFormatting>
  <dataValidations count="2">
    <dataValidation type="list" sqref="L3:L59">
      <formula1>"Pass,Fail,Blocked,Not Executed"</formula1>
    </dataValidation>
    <dataValidation type="list" sqref="K3:K59">
      <formula1>"High,Medium,Low"</formula1>
    </dataValidation>
  </dataValidations>
  <pageMargins left="0.75" right="0.75" top="1" bottom="1" header="0.5" footer="0.5"/>
  <pageSetup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9"/>
  <sheetViews>
    <sheetView showGridLines="0"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16.140625" customWidth="1"/>
    <col min="2" max="2" width="17.28515625" customWidth="1"/>
    <col min="3" max="3" width="7.5703125" customWidth="1"/>
    <col min="4" max="4" width="15.140625" customWidth="1"/>
    <col min="5" max="5" width="12.5703125" customWidth="1"/>
    <col min="6" max="6" width="13.140625" customWidth="1"/>
    <col min="7" max="7" width="11.7109375" customWidth="1"/>
    <col min="8" max="8" width="14.42578125" customWidth="1"/>
    <col min="9" max="9" width="9" customWidth="1"/>
    <col min="10" max="10" width="8.5703125" customWidth="1"/>
  </cols>
  <sheetData>
    <row r="1" spans="1:10" ht="27.95" customHeight="1" x14ac:dyDescent="0.25">
      <c r="A1" s="14" t="s">
        <v>563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33.950000000000003" customHeight="1" x14ac:dyDescent="0.25">
      <c r="A2" s="6" t="s">
        <v>284</v>
      </c>
      <c r="B2" s="6" t="s">
        <v>88</v>
      </c>
      <c r="C2" s="6" t="s">
        <v>152</v>
      </c>
      <c r="D2" s="6" t="s">
        <v>4</v>
      </c>
      <c r="E2" s="6" t="s">
        <v>290</v>
      </c>
      <c r="F2" s="6" t="s">
        <v>291</v>
      </c>
      <c r="G2" s="6" t="s">
        <v>292</v>
      </c>
      <c r="H2" s="6" t="s">
        <v>293</v>
      </c>
      <c r="I2" s="6" t="s">
        <v>564</v>
      </c>
      <c r="J2" s="6" t="s">
        <v>565</v>
      </c>
    </row>
    <row r="3" spans="1:10" x14ac:dyDescent="0.25">
      <c r="A3" s="7" t="s">
        <v>294</v>
      </c>
      <c r="B3" s="7" t="s">
        <v>91</v>
      </c>
      <c r="C3" s="7" t="s">
        <v>156</v>
      </c>
      <c r="D3" s="7" t="s">
        <v>299</v>
      </c>
      <c r="E3" s="7"/>
      <c r="F3" s="7"/>
      <c r="G3" s="7"/>
      <c r="H3" s="7"/>
      <c r="I3" s="7"/>
      <c r="J3" s="7"/>
    </row>
    <row r="4" spans="1:10" x14ac:dyDescent="0.25">
      <c r="A4" s="8" t="s">
        <v>300</v>
      </c>
      <c r="B4" s="8" t="s">
        <v>91</v>
      </c>
      <c r="C4" s="8" t="s">
        <v>156</v>
      </c>
      <c r="D4" s="8" t="s">
        <v>299</v>
      </c>
      <c r="E4" s="8"/>
      <c r="F4" s="8"/>
      <c r="G4" s="8"/>
      <c r="H4" s="8"/>
      <c r="I4" s="8"/>
      <c r="J4" s="8"/>
    </row>
    <row r="5" spans="1:10" x14ac:dyDescent="0.25">
      <c r="A5" s="7" t="s">
        <v>306</v>
      </c>
      <c r="B5" s="7" t="s">
        <v>91</v>
      </c>
      <c r="C5" s="7" t="s">
        <v>156</v>
      </c>
      <c r="D5" s="7" t="s">
        <v>299</v>
      </c>
      <c r="E5" s="7"/>
      <c r="F5" s="7"/>
      <c r="G5" s="7"/>
      <c r="H5" s="7"/>
      <c r="I5" s="7"/>
      <c r="J5" s="7"/>
    </row>
    <row r="6" spans="1:10" x14ac:dyDescent="0.25">
      <c r="A6" s="8" t="s">
        <v>310</v>
      </c>
      <c r="B6" s="8" t="s">
        <v>91</v>
      </c>
      <c r="C6" s="8" t="s">
        <v>156</v>
      </c>
      <c r="D6" s="8" t="s">
        <v>299</v>
      </c>
      <c r="E6" s="8"/>
      <c r="F6" s="8"/>
      <c r="G6" s="8"/>
      <c r="H6" s="8"/>
      <c r="I6" s="8"/>
      <c r="J6" s="8"/>
    </row>
    <row r="7" spans="1:10" x14ac:dyDescent="0.25">
      <c r="A7" s="7" t="s">
        <v>314</v>
      </c>
      <c r="B7" s="7" t="s">
        <v>91</v>
      </c>
      <c r="C7" s="7" t="s">
        <v>156</v>
      </c>
      <c r="D7" s="7" t="s">
        <v>299</v>
      </c>
      <c r="E7" s="7"/>
      <c r="F7" s="7"/>
      <c r="G7" s="7"/>
      <c r="H7" s="7"/>
      <c r="I7" s="7"/>
      <c r="J7" s="7"/>
    </row>
    <row r="8" spans="1:10" x14ac:dyDescent="0.25">
      <c r="A8" s="8" t="s">
        <v>319</v>
      </c>
      <c r="B8" s="8" t="s">
        <v>91</v>
      </c>
      <c r="C8" s="8" t="s">
        <v>156</v>
      </c>
      <c r="D8" s="8" t="s">
        <v>299</v>
      </c>
      <c r="E8" s="8"/>
      <c r="F8" s="8"/>
      <c r="G8" s="8"/>
      <c r="H8" s="8"/>
      <c r="I8" s="8"/>
      <c r="J8" s="8"/>
    </row>
    <row r="9" spans="1:10" x14ac:dyDescent="0.25">
      <c r="A9" s="7" t="s">
        <v>324</v>
      </c>
      <c r="B9" s="7" t="s">
        <v>91</v>
      </c>
      <c r="C9" s="7" t="s">
        <v>156</v>
      </c>
      <c r="D9" s="7" t="s">
        <v>299</v>
      </c>
      <c r="E9" s="7"/>
      <c r="F9" s="7"/>
      <c r="G9" s="7"/>
      <c r="H9" s="7"/>
      <c r="I9" s="7"/>
      <c r="J9" s="7"/>
    </row>
    <row r="10" spans="1:10" x14ac:dyDescent="0.25">
      <c r="A10" s="8" t="s">
        <v>328</v>
      </c>
      <c r="B10" s="8" t="s">
        <v>91</v>
      </c>
      <c r="C10" s="8" t="s">
        <v>156</v>
      </c>
      <c r="D10" s="8" t="s">
        <v>299</v>
      </c>
      <c r="E10" s="8"/>
      <c r="F10" s="8"/>
      <c r="G10" s="8"/>
      <c r="H10" s="8"/>
      <c r="I10" s="8"/>
      <c r="J10" s="8"/>
    </row>
    <row r="11" spans="1:10" x14ac:dyDescent="0.25">
      <c r="A11" s="7" t="s">
        <v>333</v>
      </c>
      <c r="B11" s="7" t="s">
        <v>91</v>
      </c>
      <c r="C11" s="7" t="s">
        <v>156</v>
      </c>
      <c r="D11" s="7" t="s">
        <v>299</v>
      </c>
      <c r="E11" s="7"/>
      <c r="F11" s="7"/>
      <c r="G11" s="7"/>
      <c r="H11" s="7"/>
      <c r="I11" s="7"/>
      <c r="J11" s="7"/>
    </row>
    <row r="12" spans="1:10" x14ac:dyDescent="0.25">
      <c r="A12" s="8" t="s">
        <v>339</v>
      </c>
      <c r="B12" s="8" t="s">
        <v>91</v>
      </c>
      <c r="C12" s="8" t="s">
        <v>156</v>
      </c>
      <c r="D12" s="8" t="s">
        <v>299</v>
      </c>
      <c r="E12" s="8"/>
      <c r="F12" s="8"/>
      <c r="G12" s="8"/>
      <c r="H12" s="8"/>
      <c r="I12" s="8"/>
      <c r="J12" s="8"/>
    </row>
    <row r="13" spans="1:10" x14ac:dyDescent="0.25">
      <c r="A13" s="7" t="s">
        <v>344</v>
      </c>
      <c r="B13" s="7" t="s">
        <v>102</v>
      </c>
      <c r="C13" s="7" t="s">
        <v>156</v>
      </c>
      <c r="D13" s="7" t="s">
        <v>299</v>
      </c>
      <c r="E13" s="7"/>
      <c r="F13" s="7"/>
      <c r="G13" s="7"/>
      <c r="H13" s="7"/>
      <c r="I13" s="7"/>
      <c r="J13" s="7"/>
    </row>
    <row r="14" spans="1:10" x14ac:dyDescent="0.25">
      <c r="A14" s="8" t="s">
        <v>349</v>
      </c>
      <c r="B14" s="8" t="s">
        <v>102</v>
      </c>
      <c r="C14" s="8" t="s">
        <v>156</v>
      </c>
      <c r="D14" s="8" t="s">
        <v>299</v>
      </c>
      <c r="E14" s="8"/>
      <c r="F14" s="8"/>
      <c r="G14" s="8"/>
      <c r="H14" s="8"/>
      <c r="I14" s="8"/>
      <c r="J14" s="8"/>
    </row>
    <row r="15" spans="1:10" x14ac:dyDescent="0.25">
      <c r="A15" s="7" t="s">
        <v>355</v>
      </c>
      <c r="B15" s="7" t="s">
        <v>102</v>
      </c>
      <c r="C15" s="7" t="s">
        <v>156</v>
      </c>
      <c r="D15" s="7" t="s">
        <v>299</v>
      </c>
      <c r="E15" s="7"/>
      <c r="F15" s="7"/>
      <c r="G15" s="7"/>
      <c r="H15" s="7"/>
      <c r="I15" s="7"/>
      <c r="J15" s="7"/>
    </row>
    <row r="16" spans="1:10" x14ac:dyDescent="0.25">
      <c r="A16" s="8" t="s">
        <v>360</v>
      </c>
      <c r="B16" s="8" t="s">
        <v>102</v>
      </c>
      <c r="C16" s="8" t="s">
        <v>156</v>
      </c>
      <c r="D16" s="8" t="s">
        <v>299</v>
      </c>
      <c r="E16" s="8"/>
      <c r="F16" s="8"/>
      <c r="G16" s="8"/>
      <c r="H16" s="8"/>
      <c r="I16" s="8"/>
      <c r="J16" s="8"/>
    </row>
    <row r="17" spans="1:10" x14ac:dyDescent="0.25">
      <c r="A17" s="7" t="s">
        <v>364</v>
      </c>
      <c r="B17" s="7" t="s">
        <v>102</v>
      </c>
      <c r="C17" s="7" t="s">
        <v>156</v>
      </c>
      <c r="D17" s="7" t="s">
        <v>299</v>
      </c>
      <c r="E17" s="7"/>
      <c r="F17" s="7"/>
      <c r="G17" s="7"/>
      <c r="H17" s="7"/>
      <c r="I17" s="7"/>
      <c r="J17" s="7"/>
    </row>
    <row r="18" spans="1:10" x14ac:dyDescent="0.25">
      <c r="A18" s="8" t="s">
        <v>368</v>
      </c>
      <c r="B18" s="8" t="s">
        <v>102</v>
      </c>
      <c r="C18" s="8" t="s">
        <v>156</v>
      </c>
      <c r="D18" s="8" t="s">
        <v>299</v>
      </c>
      <c r="E18" s="8"/>
      <c r="F18" s="8"/>
      <c r="G18" s="8"/>
      <c r="H18" s="8"/>
      <c r="I18" s="8"/>
      <c r="J18" s="8"/>
    </row>
    <row r="19" spans="1:10" x14ac:dyDescent="0.25">
      <c r="A19" s="7" t="s">
        <v>372</v>
      </c>
      <c r="B19" s="7" t="s">
        <v>102</v>
      </c>
      <c r="C19" s="7" t="s">
        <v>156</v>
      </c>
      <c r="D19" s="7" t="s">
        <v>299</v>
      </c>
      <c r="E19" s="7"/>
      <c r="F19" s="7"/>
      <c r="G19" s="7"/>
      <c r="H19" s="7"/>
      <c r="I19" s="7"/>
      <c r="J19" s="7"/>
    </row>
    <row r="20" spans="1:10" x14ac:dyDescent="0.25">
      <c r="A20" s="8" t="s">
        <v>376</v>
      </c>
      <c r="B20" s="8" t="s">
        <v>102</v>
      </c>
      <c r="C20" s="8" t="s">
        <v>156</v>
      </c>
      <c r="D20" s="8" t="s">
        <v>299</v>
      </c>
      <c r="E20" s="8"/>
      <c r="F20" s="8"/>
      <c r="G20" s="8"/>
      <c r="H20" s="8"/>
      <c r="I20" s="8"/>
      <c r="J20" s="8"/>
    </row>
    <row r="21" spans="1:10" x14ac:dyDescent="0.25">
      <c r="A21" s="7" t="s">
        <v>380</v>
      </c>
      <c r="B21" s="7" t="s">
        <v>102</v>
      </c>
      <c r="C21" s="7" t="s">
        <v>156</v>
      </c>
      <c r="D21" s="7" t="s">
        <v>299</v>
      </c>
      <c r="E21" s="7"/>
      <c r="F21" s="7"/>
      <c r="G21" s="7"/>
      <c r="H21" s="7"/>
      <c r="I21" s="7"/>
      <c r="J21" s="7"/>
    </row>
    <row r="22" spans="1:10" x14ac:dyDescent="0.25">
      <c r="A22" s="8" t="s">
        <v>384</v>
      </c>
      <c r="B22" s="8" t="s">
        <v>102</v>
      </c>
      <c r="C22" s="8" t="s">
        <v>156</v>
      </c>
      <c r="D22" s="8" t="s">
        <v>299</v>
      </c>
      <c r="E22" s="8"/>
      <c r="F22" s="8"/>
      <c r="G22" s="8"/>
      <c r="H22" s="8"/>
      <c r="I22" s="8"/>
      <c r="J22" s="8"/>
    </row>
    <row r="23" spans="1:10" x14ac:dyDescent="0.25">
      <c r="A23" s="7" t="s">
        <v>389</v>
      </c>
      <c r="B23" s="7" t="s">
        <v>111</v>
      </c>
      <c r="C23" s="7" t="s">
        <v>156</v>
      </c>
      <c r="D23" s="7" t="s">
        <v>299</v>
      </c>
      <c r="E23" s="7"/>
      <c r="F23" s="7"/>
      <c r="G23" s="7"/>
      <c r="H23" s="7"/>
      <c r="I23" s="7"/>
      <c r="J23" s="7"/>
    </row>
    <row r="24" spans="1:10" x14ac:dyDescent="0.25">
      <c r="A24" s="8" t="s">
        <v>393</v>
      </c>
      <c r="B24" s="8" t="s">
        <v>111</v>
      </c>
      <c r="C24" s="8" t="s">
        <v>156</v>
      </c>
      <c r="D24" s="8" t="s">
        <v>299</v>
      </c>
      <c r="E24" s="8"/>
      <c r="F24" s="8"/>
      <c r="G24" s="8"/>
      <c r="H24" s="8"/>
      <c r="I24" s="8"/>
      <c r="J24" s="8"/>
    </row>
    <row r="25" spans="1:10" x14ac:dyDescent="0.25">
      <c r="A25" s="7" t="s">
        <v>397</v>
      </c>
      <c r="B25" s="7" t="s">
        <v>111</v>
      </c>
      <c r="C25" s="7" t="s">
        <v>156</v>
      </c>
      <c r="D25" s="7" t="s">
        <v>299</v>
      </c>
      <c r="E25" s="7"/>
      <c r="F25" s="7"/>
      <c r="G25" s="7"/>
      <c r="H25" s="7"/>
      <c r="I25" s="7"/>
      <c r="J25" s="7"/>
    </row>
    <row r="26" spans="1:10" x14ac:dyDescent="0.25">
      <c r="A26" s="8" t="s">
        <v>402</v>
      </c>
      <c r="B26" s="8" t="s">
        <v>111</v>
      </c>
      <c r="C26" s="8" t="s">
        <v>156</v>
      </c>
      <c r="D26" s="8" t="s">
        <v>299</v>
      </c>
      <c r="E26" s="8"/>
      <c r="F26" s="8"/>
      <c r="G26" s="8"/>
      <c r="H26" s="8"/>
      <c r="I26" s="8"/>
      <c r="J26" s="8"/>
    </row>
    <row r="27" spans="1:10" x14ac:dyDescent="0.25">
      <c r="A27" s="7" t="s">
        <v>406</v>
      </c>
      <c r="B27" s="7" t="s">
        <v>111</v>
      </c>
      <c r="C27" s="7" t="s">
        <v>156</v>
      </c>
      <c r="D27" s="7" t="s">
        <v>299</v>
      </c>
      <c r="E27" s="7"/>
      <c r="F27" s="7"/>
      <c r="G27" s="7"/>
      <c r="H27" s="7"/>
      <c r="I27" s="7"/>
      <c r="J27" s="7"/>
    </row>
    <row r="28" spans="1:10" x14ac:dyDescent="0.25">
      <c r="A28" s="8" t="s">
        <v>411</v>
      </c>
      <c r="B28" s="8" t="s">
        <v>111</v>
      </c>
      <c r="C28" s="8" t="s">
        <v>156</v>
      </c>
      <c r="D28" s="8" t="s">
        <v>299</v>
      </c>
      <c r="E28" s="8"/>
      <c r="F28" s="8"/>
      <c r="G28" s="8"/>
      <c r="H28" s="8"/>
      <c r="I28" s="8"/>
      <c r="J28" s="8"/>
    </row>
    <row r="29" spans="1:10" x14ac:dyDescent="0.25">
      <c r="A29" s="7" t="s">
        <v>416</v>
      </c>
      <c r="B29" s="7" t="s">
        <v>111</v>
      </c>
      <c r="C29" s="7" t="s">
        <v>156</v>
      </c>
      <c r="D29" s="7" t="s">
        <v>299</v>
      </c>
      <c r="E29" s="7"/>
      <c r="F29" s="7"/>
      <c r="G29" s="7"/>
      <c r="H29" s="7"/>
      <c r="I29" s="7"/>
      <c r="J29" s="7"/>
    </row>
    <row r="30" spans="1:10" x14ac:dyDescent="0.25">
      <c r="A30" s="8" t="s">
        <v>422</v>
      </c>
      <c r="B30" s="8" t="s">
        <v>111</v>
      </c>
      <c r="C30" s="8" t="s">
        <v>156</v>
      </c>
      <c r="D30" s="8" t="s">
        <v>299</v>
      </c>
      <c r="E30" s="8"/>
      <c r="F30" s="8"/>
      <c r="G30" s="8"/>
      <c r="H30" s="8"/>
      <c r="I30" s="8"/>
      <c r="J30" s="8"/>
    </row>
    <row r="31" spans="1:10" x14ac:dyDescent="0.25">
      <c r="A31" s="7" t="s">
        <v>427</v>
      </c>
      <c r="B31" s="7" t="s">
        <v>111</v>
      </c>
      <c r="C31" s="7" t="s">
        <v>156</v>
      </c>
      <c r="D31" s="7" t="s">
        <v>299</v>
      </c>
      <c r="E31" s="7"/>
      <c r="F31" s="7"/>
      <c r="G31" s="7"/>
      <c r="H31" s="7"/>
      <c r="I31" s="7"/>
      <c r="J31" s="7"/>
    </row>
    <row r="32" spans="1:10" x14ac:dyDescent="0.25">
      <c r="A32" s="8" t="s">
        <v>432</v>
      </c>
      <c r="B32" s="8" t="s">
        <v>111</v>
      </c>
      <c r="C32" s="8" t="s">
        <v>156</v>
      </c>
      <c r="D32" s="8" t="s">
        <v>299</v>
      </c>
      <c r="E32" s="8"/>
      <c r="F32" s="8"/>
      <c r="G32" s="8"/>
      <c r="H32" s="8"/>
      <c r="I32" s="8"/>
      <c r="J32" s="8"/>
    </row>
    <row r="33" spans="1:10" x14ac:dyDescent="0.25">
      <c r="A33" s="7" t="s">
        <v>437</v>
      </c>
      <c r="B33" s="7" t="s">
        <v>122</v>
      </c>
      <c r="C33" s="7" t="s">
        <v>156</v>
      </c>
      <c r="D33" s="7" t="s">
        <v>299</v>
      </c>
      <c r="E33" s="7"/>
      <c r="F33" s="7"/>
      <c r="G33" s="7"/>
      <c r="H33" s="7"/>
      <c r="I33" s="7"/>
      <c r="J33" s="7"/>
    </row>
    <row r="34" spans="1:10" x14ac:dyDescent="0.25">
      <c r="A34" s="8" t="s">
        <v>442</v>
      </c>
      <c r="B34" s="8" t="s">
        <v>122</v>
      </c>
      <c r="C34" s="8" t="s">
        <v>156</v>
      </c>
      <c r="D34" s="8" t="s">
        <v>299</v>
      </c>
      <c r="E34" s="8"/>
      <c r="F34" s="8"/>
      <c r="G34" s="8"/>
      <c r="H34" s="8"/>
      <c r="I34" s="8"/>
      <c r="J34" s="8"/>
    </row>
    <row r="35" spans="1:10" x14ac:dyDescent="0.25">
      <c r="A35" s="7" t="s">
        <v>448</v>
      </c>
      <c r="B35" s="7" t="s">
        <v>122</v>
      </c>
      <c r="C35" s="7" t="s">
        <v>156</v>
      </c>
      <c r="D35" s="7" t="s">
        <v>299</v>
      </c>
      <c r="E35" s="7"/>
      <c r="F35" s="7"/>
      <c r="G35" s="7"/>
      <c r="H35" s="7"/>
      <c r="I35" s="7"/>
      <c r="J35" s="7"/>
    </row>
    <row r="36" spans="1:10" x14ac:dyDescent="0.25">
      <c r="A36" s="8" t="s">
        <v>452</v>
      </c>
      <c r="B36" s="8" t="s">
        <v>122</v>
      </c>
      <c r="C36" s="8" t="s">
        <v>156</v>
      </c>
      <c r="D36" s="8" t="s">
        <v>299</v>
      </c>
      <c r="E36" s="8"/>
      <c r="F36" s="8"/>
      <c r="G36" s="8"/>
      <c r="H36" s="8"/>
      <c r="I36" s="8"/>
      <c r="J36" s="8"/>
    </row>
    <row r="37" spans="1:10" x14ac:dyDescent="0.25">
      <c r="A37" s="7" t="s">
        <v>456</v>
      </c>
      <c r="B37" s="7" t="s">
        <v>122</v>
      </c>
      <c r="C37" s="7" t="s">
        <v>156</v>
      </c>
      <c r="D37" s="7" t="s">
        <v>299</v>
      </c>
      <c r="E37" s="7"/>
      <c r="F37" s="7"/>
      <c r="G37" s="7"/>
      <c r="H37" s="7"/>
      <c r="I37" s="7"/>
      <c r="J37" s="7"/>
    </row>
    <row r="38" spans="1:10" x14ac:dyDescent="0.25">
      <c r="A38" s="8" t="s">
        <v>460</v>
      </c>
      <c r="B38" s="8" t="s">
        <v>122</v>
      </c>
      <c r="C38" s="8" t="s">
        <v>156</v>
      </c>
      <c r="D38" s="8" t="s">
        <v>299</v>
      </c>
      <c r="E38" s="8"/>
      <c r="F38" s="8"/>
      <c r="G38" s="8"/>
      <c r="H38" s="8"/>
      <c r="I38" s="8"/>
      <c r="J38" s="8"/>
    </row>
    <row r="39" spans="1:10" x14ac:dyDescent="0.25">
      <c r="A39" s="7" t="s">
        <v>465</v>
      </c>
      <c r="B39" s="7" t="s">
        <v>122</v>
      </c>
      <c r="C39" s="7" t="s">
        <v>156</v>
      </c>
      <c r="D39" s="7" t="s">
        <v>299</v>
      </c>
      <c r="E39" s="7"/>
      <c r="F39" s="7"/>
      <c r="G39" s="7"/>
      <c r="H39" s="7"/>
      <c r="I39" s="7"/>
      <c r="J39" s="7"/>
    </row>
    <row r="40" spans="1:10" x14ac:dyDescent="0.25">
      <c r="A40" s="8" t="s">
        <v>468</v>
      </c>
      <c r="B40" s="8" t="s">
        <v>122</v>
      </c>
      <c r="C40" s="8" t="s">
        <v>156</v>
      </c>
      <c r="D40" s="8" t="s">
        <v>299</v>
      </c>
      <c r="E40" s="8"/>
      <c r="F40" s="8"/>
      <c r="G40" s="8"/>
      <c r="H40" s="8"/>
      <c r="I40" s="8"/>
      <c r="J40" s="8"/>
    </row>
    <row r="41" spans="1:10" x14ac:dyDescent="0.25">
      <c r="A41" s="7" t="s">
        <v>472</v>
      </c>
      <c r="B41" s="7" t="s">
        <v>122</v>
      </c>
      <c r="C41" s="7" t="s">
        <v>156</v>
      </c>
      <c r="D41" s="7" t="s">
        <v>299</v>
      </c>
      <c r="E41" s="7"/>
      <c r="F41" s="7"/>
      <c r="G41" s="7"/>
      <c r="H41" s="7"/>
      <c r="I41" s="7"/>
      <c r="J41" s="7"/>
    </row>
    <row r="42" spans="1:10" x14ac:dyDescent="0.25">
      <c r="A42" s="8" t="s">
        <v>476</v>
      </c>
      <c r="B42" s="8" t="s">
        <v>122</v>
      </c>
      <c r="C42" s="8" t="s">
        <v>156</v>
      </c>
      <c r="D42" s="8" t="s">
        <v>299</v>
      </c>
      <c r="E42" s="8"/>
      <c r="F42" s="8"/>
      <c r="G42" s="8"/>
      <c r="H42" s="8"/>
      <c r="I42" s="8"/>
      <c r="J42" s="8"/>
    </row>
    <row r="43" spans="1:10" ht="30" x14ac:dyDescent="0.25">
      <c r="A43" s="7" t="s">
        <v>480</v>
      </c>
      <c r="B43" s="7" t="s">
        <v>129</v>
      </c>
      <c r="C43" s="7" t="s">
        <v>156</v>
      </c>
      <c r="D43" s="7" t="s">
        <v>299</v>
      </c>
      <c r="E43" s="7"/>
      <c r="F43" s="7"/>
      <c r="G43" s="7"/>
      <c r="H43" s="7"/>
      <c r="I43" s="7"/>
      <c r="J43" s="7"/>
    </row>
    <row r="44" spans="1:10" ht="30" x14ac:dyDescent="0.25">
      <c r="A44" s="8" t="s">
        <v>485</v>
      </c>
      <c r="B44" s="8" t="s">
        <v>129</v>
      </c>
      <c r="C44" s="8" t="s">
        <v>156</v>
      </c>
      <c r="D44" s="8" t="s">
        <v>299</v>
      </c>
      <c r="E44" s="8"/>
      <c r="F44" s="8"/>
      <c r="G44" s="8"/>
      <c r="H44" s="8"/>
      <c r="I44" s="8"/>
      <c r="J44" s="8"/>
    </row>
    <row r="45" spans="1:10" ht="30" x14ac:dyDescent="0.25">
      <c r="A45" s="7" t="s">
        <v>489</v>
      </c>
      <c r="B45" s="7" t="s">
        <v>129</v>
      </c>
      <c r="C45" s="7" t="s">
        <v>156</v>
      </c>
      <c r="D45" s="7" t="s">
        <v>299</v>
      </c>
      <c r="E45" s="7"/>
      <c r="F45" s="7"/>
      <c r="G45" s="7"/>
      <c r="H45" s="7"/>
      <c r="I45" s="7"/>
      <c r="J45" s="7"/>
    </row>
    <row r="46" spans="1:10" ht="30" x14ac:dyDescent="0.25">
      <c r="A46" s="8" t="s">
        <v>494</v>
      </c>
      <c r="B46" s="8" t="s">
        <v>129</v>
      </c>
      <c r="C46" s="8" t="s">
        <v>156</v>
      </c>
      <c r="D46" s="8" t="s">
        <v>299</v>
      </c>
      <c r="E46" s="8"/>
      <c r="F46" s="8"/>
      <c r="G46" s="8"/>
      <c r="H46" s="8"/>
      <c r="I46" s="8"/>
      <c r="J46" s="8"/>
    </row>
    <row r="47" spans="1:10" ht="30" x14ac:dyDescent="0.25">
      <c r="A47" s="7" t="s">
        <v>499</v>
      </c>
      <c r="B47" s="7" t="s">
        <v>129</v>
      </c>
      <c r="C47" s="7" t="s">
        <v>156</v>
      </c>
      <c r="D47" s="7" t="s">
        <v>299</v>
      </c>
      <c r="E47" s="7"/>
      <c r="F47" s="7"/>
      <c r="G47" s="7"/>
      <c r="H47" s="7"/>
      <c r="I47" s="7"/>
      <c r="J47" s="7"/>
    </row>
    <row r="48" spans="1:10" ht="30" x14ac:dyDescent="0.25">
      <c r="A48" s="8" t="s">
        <v>503</v>
      </c>
      <c r="B48" s="8" t="s">
        <v>129</v>
      </c>
      <c r="C48" s="8" t="s">
        <v>156</v>
      </c>
      <c r="D48" s="8" t="s">
        <v>299</v>
      </c>
      <c r="E48" s="8"/>
      <c r="F48" s="8"/>
      <c r="G48" s="8"/>
      <c r="H48" s="8"/>
      <c r="I48" s="8"/>
      <c r="J48" s="8"/>
    </row>
    <row r="49" spans="1:10" ht="30" x14ac:dyDescent="0.25">
      <c r="A49" s="7" t="s">
        <v>508</v>
      </c>
      <c r="B49" s="7" t="s">
        <v>129</v>
      </c>
      <c r="C49" s="7" t="s">
        <v>156</v>
      </c>
      <c r="D49" s="7" t="s">
        <v>299</v>
      </c>
      <c r="E49" s="7"/>
      <c r="F49" s="7"/>
      <c r="G49" s="7"/>
      <c r="H49" s="7"/>
      <c r="I49" s="7"/>
      <c r="J49" s="7"/>
    </row>
    <row r="50" spans="1:10" ht="30" customHeight="1" x14ac:dyDescent="0.25">
      <c r="A50" s="8" t="s">
        <v>513</v>
      </c>
      <c r="B50" s="8" t="s">
        <v>136</v>
      </c>
      <c r="C50" s="8" t="s">
        <v>156</v>
      </c>
      <c r="D50" s="8" t="s">
        <v>299</v>
      </c>
      <c r="E50" s="8"/>
      <c r="F50" s="8"/>
      <c r="G50" s="8"/>
      <c r="H50" s="8"/>
      <c r="I50" s="8"/>
      <c r="J50" s="8"/>
    </row>
    <row r="51" spans="1:10" ht="30" customHeight="1" x14ac:dyDescent="0.25">
      <c r="A51" s="7" t="s">
        <v>518</v>
      </c>
      <c r="B51" s="7" t="s">
        <v>136</v>
      </c>
      <c r="C51" s="7" t="s">
        <v>156</v>
      </c>
      <c r="D51" s="7" t="s">
        <v>299</v>
      </c>
      <c r="E51" s="7"/>
      <c r="F51" s="7"/>
      <c r="G51" s="7"/>
      <c r="H51" s="7"/>
      <c r="I51" s="7"/>
      <c r="J51" s="7"/>
    </row>
    <row r="52" spans="1:10" ht="30" customHeight="1" x14ac:dyDescent="0.25">
      <c r="A52" s="8" t="s">
        <v>523</v>
      </c>
      <c r="B52" s="8" t="s">
        <v>136</v>
      </c>
      <c r="C52" s="8" t="s">
        <v>156</v>
      </c>
      <c r="D52" s="8" t="s">
        <v>299</v>
      </c>
      <c r="E52" s="8"/>
      <c r="F52" s="8"/>
      <c r="G52" s="8"/>
      <c r="H52" s="8"/>
      <c r="I52" s="8"/>
      <c r="J52" s="8"/>
    </row>
    <row r="53" spans="1:10" x14ac:dyDescent="0.25">
      <c r="A53" s="7" t="s">
        <v>529</v>
      </c>
      <c r="B53" s="7" t="s">
        <v>141</v>
      </c>
      <c r="C53" s="7" t="s">
        <v>156</v>
      </c>
      <c r="D53" s="7" t="s">
        <v>299</v>
      </c>
      <c r="E53" s="7"/>
      <c r="F53" s="7"/>
      <c r="G53" s="7"/>
      <c r="H53" s="7"/>
      <c r="I53" s="7"/>
      <c r="J53" s="7"/>
    </row>
    <row r="54" spans="1:10" x14ac:dyDescent="0.25">
      <c r="A54" s="8" t="s">
        <v>533</v>
      </c>
      <c r="B54" s="8" t="s">
        <v>141</v>
      </c>
      <c r="C54" s="8" t="s">
        <v>156</v>
      </c>
      <c r="D54" s="8" t="s">
        <v>299</v>
      </c>
      <c r="E54" s="8"/>
      <c r="F54" s="8"/>
      <c r="G54" s="8"/>
      <c r="H54" s="8"/>
      <c r="I54" s="8"/>
      <c r="J54" s="8"/>
    </row>
    <row r="55" spans="1:10" x14ac:dyDescent="0.25">
      <c r="A55" s="7" t="s">
        <v>538</v>
      </c>
      <c r="B55" s="7" t="s">
        <v>141</v>
      </c>
      <c r="C55" s="7" t="s">
        <v>156</v>
      </c>
      <c r="D55" s="7" t="s">
        <v>299</v>
      </c>
      <c r="E55" s="7"/>
      <c r="F55" s="7"/>
      <c r="G55" s="7"/>
      <c r="H55" s="7"/>
      <c r="I55" s="7"/>
      <c r="J55" s="7"/>
    </row>
    <row r="56" spans="1:10" x14ac:dyDescent="0.25">
      <c r="A56" s="8" t="s">
        <v>541</v>
      </c>
      <c r="B56" s="8" t="s">
        <v>141</v>
      </c>
      <c r="C56" s="8" t="s">
        <v>156</v>
      </c>
      <c r="D56" s="8" t="s">
        <v>299</v>
      </c>
      <c r="E56" s="8"/>
      <c r="F56" s="8"/>
      <c r="G56" s="8"/>
      <c r="H56" s="8"/>
      <c r="I56" s="8"/>
      <c r="J56" s="8"/>
    </row>
    <row r="57" spans="1:10" x14ac:dyDescent="0.25">
      <c r="A57" s="7" t="s">
        <v>546</v>
      </c>
      <c r="B57" s="7" t="s">
        <v>146</v>
      </c>
      <c r="C57" s="7" t="s">
        <v>156</v>
      </c>
      <c r="D57" s="7" t="s">
        <v>299</v>
      </c>
      <c r="E57" s="7"/>
      <c r="F57" s="7"/>
      <c r="G57" s="7"/>
      <c r="H57" s="7"/>
      <c r="I57" s="7"/>
      <c r="J57" s="7"/>
    </row>
    <row r="58" spans="1:10" x14ac:dyDescent="0.25">
      <c r="A58" s="8" t="s">
        <v>551</v>
      </c>
      <c r="B58" s="8" t="s">
        <v>146</v>
      </c>
      <c r="C58" s="8" t="s">
        <v>156</v>
      </c>
      <c r="D58" s="8" t="s">
        <v>299</v>
      </c>
      <c r="E58" s="8"/>
      <c r="F58" s="8"/>
      <c r="G58" s="8"/>
      <c r="H58" s="8"/>
      <c r="I58" s="8"/>
      <c r="J58" s="8"/>
    </row>
    <row r="59" spans="1:10" x14ac:dyDescent="0.25">
      <c r="A59" s="7" t="s">
        <v>557</v>
      </c>
      <c r="B59" s="7" t="s">
        <v>146</v>
      </c>
      <c r="C59" s="7" t="s">
        <v>156</v>
      </c>
      <c r="D59" s="7" t="s">
        <v>299</v>
      </c>
      <c r="E59" s="7"/>
      <c r="F59" s="7"/>
      <c r="G59" s="7"/>
      <c r="H59" s="7"/>
      <c r="I59" s="7"/>
      <c r="J59" s="7"/>
    </row>
  </sheetData>
  <autoFilter ref="A3:J59"/>
  <mergeCells count="1">
    <mergeCell ref="A1:J1"/>
  </mergeCells>
  <conditionalFormatting sqref="D3:D59">
    <cfRule type="expression" dxfId="1" priority="1">
      <formula>D3="Pass"</formula>
    </cfRule>
    <cfRule type="expression" dxfId="0" priority="2">
      <formula>D3="Fail"</formula>
    </cfRule>
  </conditionalFormatting>
  <dataValidations count="1">
    <dataValidation type="list" sqref="D3:D59">
      <formula1>"Pass,Fail,Blocked,Not Executed"</formula1>
    </dataValidation>
  </dataValidations>
  <pageMargins left="0.75" right="0.75" top="1" bottom="1" header="0.5" footer="0.5"/>
  <pageSetup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"/>
  <sheetViews>
    <sheetView showGridLines="0"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6.28515625" customWidth="1"/>
    <col min="2" max="2" width="9.28515625" customWidth="1"/>
    <col min="3" max="3" width="8" customWidth="1"/>
    <col min="4" max="5" width="12.42578125" customWidth="1"/>
    <col min="6" max="6" width="18.42578125" customWidth="1"/>
    <col min="7" max="7" width="12.5703125" customWidth="1"/>
    <col min="8" max="8" width="15.28515625" customWidth="1"/>
    <col min="9" max="9" width="8.28515625" customWidth="1"/>
    <col min="10" max="10" width="7.5703125" customWidth="1"/>
    <col min="11" max="11" width="9" customWidth="1"/>
    <col min="12" max="12" width="19.140625" customWidth="1"/>
    <col min="13" max="13" width="6.42578125" customWidth="1"/>
    <col min="14" max="14" width="18.140625" customWidth="1"/>
    <col min="15" max="15" width="11.85546875" customWidth="1"/>
  </cols>
  <sheetData>
    <row r="1" spans="1:15" ht="27.95" customHeight="1" x14ac:dyDescent="0.25">
      <c r="A1" s="14" t="s">
        <v>566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33.950000000000003" customHeight="1" x14ac:dyDescent="0.25">
      <c r="A2" s="6" t="s">
        <v>567</v>
      </c>
      <c r="B2" s="6" t="s">
        <v>568</v>
      </c>
      <c r="C2" s="6" t="s">
        <v>88</v>
      </c>
      <c r="D2" s="6" t="s">
        <v>569</v>
      </c>
      <c r="E2" s="6" t="s">
        <v>570</v>
      </c>
      <c r="F2" s="6" t="s">
        <v>571</v>
      </c>
      <c r="G2" s="6" t="s">
        <v>290</v>
      </c>
      <c r="H2" s="6" t="s">
        <v>289</v>
      </c>
      <c r="I2" s="6" t="s">
        <v>572</v>
      </c>
      <c r="J2" s="6" t="s">
        <v>152</v>
      </c>
      <c r="K2" s="6" t="s">
        <v>564</v>
      </c>
      <c r="L2" s="6" t="s">
        <v>573</v>
      </c>
      <c r="M2" s="6" t="s">
        <v>4</v>
      </c>
      <c r="N2" s="6" t="s">
        <v>574</v>
      </c>
      <c r="O2" s="6" t="s">
        <v>575</v>
      </c>
    </row>
    <row r="3" spans="1:15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</sheetData>
  <autoFilter ref="A3:O17"/>
  <mergeCells count="1">
    <mergeCell ref="A1:O1"/>
  </mergeCells>
  <dataValidations count="2">
    <dataValidation type="list" allowBlank="1" sqref="I3:I17">
      <formula1>"Critical,High,Medium,Low"</formula1>
    </dataValidation>
    <dataValidation type="list" allowBlank="1" sqref="J3:J17">
      <formula1>"High,Medium,Low"</formula1>
    </dataValidation>
  </dataValidations>
  <pageMargins left="0.75" right="0.75" top="1" bottom="1" header="0.5" footer="0.5"/>
  <pageSetup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2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2" width="32" customWidth="1"/>
    <col min="3" max="3" width="25" customWidth="1"/>
    <col min="4" max="4" width="55" customWidth="1"/>
  </cols>
  <sheetData>
    <row r="1" spans="1:4" ht="27.95" customHeight="1" x14ac:dyDescent="0.25">
      <c r="A1" s="18" t="s">
        <v>576</v>
      </c>
      <c r="B1" s="19"/>
      <c r="C1" s="19"/>
      <c r="D1" s="19"/>
    </row>
    <row r="3" spans="1:4" ht="33.950000000000003" customHeight="1" x14ac:dyDescent="0.25">
      <c r="A3" s="1" t="s">
        <v>40</v>
      </c>
      <c r="B3" s="1" t="s">
        <v>577</v>
      </c>
      <c r="C3" s="1" t="s">
        <v>578</v>
      </c>
      <c r="D3" s="1" t="s">
        <v>579</v>
      </c>
    </row>
    <row r="4" spans="1:4" x14ac:dyDescent="0.25">
      <c r="A4" s="2" t="s">
        <v>580</v>
      </c>
      <c r="B4" s="2" t="s">
        <v>46</v>
      </c>
      <c r="C4" s="2" t="s">
        <v>581</v>
      </c>
      <c r="D4" s="2"/>
    </row>
    <row r="5" spans="1:4" ht="30" x14ac:dyDescent="0.25">
      <c r="A5" s="3" t="s">
        <v>580</v>
      </c>
      <c r="B5" s="3" t="s">
        <v>48</v>
      </c>
      <c r="C5" s="3" t="s">
        <v>49</v>
      </c>
      <c r="D5" s="3"/>
    </row>
    <row r="6" spans="1:4" ht="30" x14ac:dyDescent="0.25">
      <c r="A6" s="2" t="s">
        <v>580</v>
      </c>
      <c r="B6" s="2" t="s">
        <v>582</v>
      </c>
      <c r="C6" s="2" t="s">
        <v>583</v>
      </c>
      <c r="D6" s="2" t="s">
        <v>584</v>
      </c>
    </row>
    <row r="7" spans="1:4" x14ac:dyDescent="0.25">
      <c r="A7" s="3" t="s">
        <v>580</v>
      </c>
      <c r="B7" s="3" t="s">
        <v>585</v>
      </c>
      <c r="C7" s="3" t="s">
        <v>586</v>
      </c>
      <c r="D7" s="3"/>
    </row>
    <row r="8" spans="1:4" ht="30" x14ac:dyDescent="0.25">
      <c r="A8" s="2" t="s">
        <v>580</v>
      </c>
      <c r="B8" s="2" t="s">
        <v>293</v>
      </c>
      <c r="C8" s="2" t="s">
        <v>587</v>
      </c>
      <c r="D8" s="2"/>
    </row>
    <row r="9" spans="1:4" x14ac:dyDescent="0.25">
      <c r="A9" s="3" t="s">
        <v>588</v>
      </c>
      <c r="B9" s="3" t="s">
        <v>589</v>
      </c>
      <c r="C9" s="3">
        <v>57</v>
      </c>
      <c r="D9" s="3"/>
    </row>
    <row r="10" spans="1:4" x14ac:dyDescent="0.25">
      <c r="A10" s="2" t="s">
        <v>588</v>
      </c>
      <c r="B10" s="2" t="s">
        <v>590</v>
      </c>
      <c r="C10" s="2">
        <f>COUNTIF('06_Test_Execution'!D3:D59,"&lt;&gt;Not Executed")</f>
        <v>0</v>
      </c>
      <c r="D10" s="2" t="s">
        <v>591</v>
      </c>
    </row>
    <row r="11" spans="1:4" x14ac:dyDescent="0.25">
      <c r="A11" s="3" t="s">
        <v>588</v>
      </c>
      <c r="B11" s="3" t="s">
        <v>592</v>
      </c>
      <c r="C11" s="3">
        <f>COUNTIF('06_Test_Execution'!D3:D59,"Pass")</f>
        <v>0</v>
      </c>
      <c r="D11" s="3"/>
    </row>
    <row r="12" spans="1:4" x14ac:dyDescent="0.25">
      <c r="A12" s="2" t="s">
        <v>588</v>
      </c>
      <c r="B12" s="2" t="s">
        <v>593</v>
      </c>
      <c r="C12" s="2">
        <f>COUNTIF('06_Test_Execution'!D3:D59,"Fail")</f>
        <v>0</v>
      </c>
      <c r="D12" s="2"/>
    </row>
    <row r="13" spans="1:4" x14ac:dyDescent="0.25">
      <c r="A13" s="3" t="s">
        <v>588</v>
      </c>
      <c r="B13" s="3" t="s">
        <v>594</v>
      </c>
      <c r="C13" s="3">
        <f>COUNTIF('06_Test_Execution'!D3:D59,"Blocked")</f>
        <v>0</v>
      </c>
      <c r="D13" s="3"/>
    </row>
    <row r="14" spans="1:4" x14ac:dyDescent="0.25">
      <c r="A14" s="2" t="s">
        <v>588</v>
      </c>
      <c r="B14" s="2" t="s">
        <v>299</v>
      </c>
      <c r="C14" s="2">
        <f>COUNTIF('06_Test_Execution'!D3:D59,"Not Executed")</f>
        <v>57</v>
      </c>
      <c r="D14" s="2" t="s">
        <v>595</v>
      </c>
    </row>
    <row r="15" spans="1:4" ht="30" x14ac:dyDescent="0.25">
      <c r="A15" s="3" t="s">
        <v>588</v>
      </c>
      <c r="B15" s="3" t="s">
        <v>596</v>
      </c>
      <c r="C15" s="4">
        <f>IF(C10=0,0,C11/C10)</f>
        <v>0</v>
      </c>
      <c r="D15" s="3" t="s">
        <v>597</v>
      </c>
    </row>
    <row r="16" spans="1:4" x14ac:dyDescent="0.25">
      <c r="A16" s="2" t="s">
        <v>598</v>
      </c>
      <c r="B16" s="2" t="s">
        <v>599</v>
      </c>
      <c r="C16" s="2">
        <f>COUNTIF('07_Defect_Report'!A3:A17,"&lt;&gt;")</f>
        <v>0</v>
      </c>
      <c r="D16" s="2" t="s">
        <v>600</v>
      </c>
    </row>
    <row r="17" spans="1:7" x14ac:dyDescent="0.25">
      <c r="A17" s="3" t="s">
        <v>598</v>
      </c>
      <c r="B17" s="3" t="s">
        <v>601</v>
      </c>
      <c r="C17" s="3">
        <f>COUNTIF('07_Defect_Report'!I3:I17,"Critical")</f>
        <v>0</v>
      </c>
      <c r="D17" s="3" t="s">
        <v>602</v>
      </c>
    </row>
    <row r="18" spans="1:7" x14ac:dyDescent="0.25">
      <c r="A18" s="2" t="s">
        <v>598</v>
      </c>
      <c r="B18" s="2" t="s">
        <v>156</v>
      </c>
      <c r="C18" s="2">
        <f>COUNTIF('07_Defect_Report'!I3:I17,"High")</f>
        <v>0</v>
      </c>
      <c r="D18" s="2" t="s">
        <v>602</v>
      </c>
    </row>
    <row r="19" spans="1:7" x14ac:dyDescent="0.25">
      <c r="A19" s="3" t="s">
        <v>598</v>
      </c>
      <c r="B19" s="3" t="s">
        <v>172</v>
      </c>
      <c r="C19" s="3">
        <f>COUNTIF('07_Defect_Report'!I3:I17,"Medium")</f>
        <v>0</v>
      </c>
      <c r="D19" s="3" t="s">
        <v>602</v>
      </c>
    </row>
    <row r="20" spans="1:7" x14ac:dyDescent="0.25">
      <c r="A20" s="2" t="s">
        <v>598</v>
      </c>
      <c r="B20" s="2" t="s">
        <v>603</v>
      </c>
      <c r="C20" s="2">
        <f>COUNTIF('07_Defect_Report'!I3:I17,"Low")</f>
        <v>0</v>
      </c>
      <c r="D20" s="2" t="s">
        <v>602</v>
      </c>
    </row>
    <row r="21" spans="1:7" x14ac:dyDescent="0.25">
      <c r="A21" s="3" t="s">
        <v>604</v>
      </c>
      <c r="B21" s="3" t="s">
        <v>605</v>
      </c>
      <c r="C21" s="3" t="s">
        <v>606</v>
      </c>
      <c r="D21" s="3" t="s">
        <v>607</v>
      </c>
    </row>
    <row r="24" spans="1:7" ht="33.950000000000003" customHeight="1" x14ac:dyDescent="0.25">
      <c r="A24" s="1" t="s">
        <v>88</v>
      </c>
      <c r="B24" s="1" t="s">
        <v>608</v>
      </c>
      <c r="C24" s="1" t="s">
        <v>592</v>
      </c>
      <c r="D24" s="1" t="s">
        <v>593</v>
      </c>
      <c r="E24" s="1" t="s">
        <v>594</v>
      </c>
      <c r="F24" s="1" t="s">
        <v>299</v>
      </c>
      <c r="G24" s="1" t="s">
        <v>609</v>
      </c>
    </row>
    <row r="25" spans="1:7" x14ac:dyDescent="0.25">
      <c r="A25" s="3" t="s">
        <v>91</v>
      </c>
      <c r="B25" s="3">
        <f>COUNTIF('06_Test_Execution'!B3:B59,"Login")</f>
        <v>10</v>
      </c>
      <c r="C25" s="3">
        <f>COUNTIFS('06_Test_Execution'!B3:B59,"Login",'06_Test_Execution'!D3:D59,"Pass")</f>
        <v>0</v>
      </c>
      <c r="D25" s="3">
        <f>COUNTIFS('06_Test_Execution'!B3:B59,"Login",'06_Test_Execution'!D3:D59,"Fail")</f>
        <v>0</v>
      </c>
      <c r="E25" s="3">
        <f>COUNTIFS('06_Test_Execution'!B3:B59,"Login",'06_Test_Execution'!D3:D59,"Blocked")</f>
        <v>0</v>
      </c>
      <c r="F25" s="3">
        <f>COUNTIFS('06_Test_Execution'!B3:B59,"Login",'06_Test_Execution'!D3:D59,"Not Executed")</f>
        <v>10</v>
      </c>
      <c r="G25" s="4">
        <f>IF(C25=0,0,C25/B25)</f>
        <v>0</v>
      </c>
    </row>
    <row r="26" spans="1:7" x14ac:dyDescent="0.25">
      <c r="A26" s="2" t="s">
        <v>102</v>
      </c>
      <c r="B26" s="2">
        <f>COUNTIF('06_Test_Execution'!B3:B59,"Inventory")</f>
        <v>10</v>
      </c>
      <c r="C26" s="2">
        <f>COUNTIFS('06_Test_Execution'!B3:B59,"Inventory",'06_Test_Execution'!D3:D59,"Pass")</f>
        <v>0</v>
      </c>
      <c r="D26" s="2">
        <f>COUNTIFS('06_Test_Execution'!B3:B59,"Inventory",'06_Test_Execution'!D3:D59,"Fail")</f>
        <v>0</v>
      </c>
      <c r="E26" s="2">
        <f>COUNTIFS('06_Test_Execution'!B3:B59,"Inventory",'06_Test_Execution'!D3:D59,"Blocked")</f>
        <v>0</v>
      </c>
      <c r="F26" s="2">
        <f>COUNTIFS('06_Test_Execution'!B3:B59,"Inventory",'06_Test_Execution'!D3:D59,"Not Executed")</f>
        <v>10</v>
      </c>
      <c r="G26" s="5">
        <f>IF(C25=0,0,C25/B25)</f>
        <v>0</v>
      </c>
    </row>
    <row r="27" spans="1:7" x14ac:dyDescent="0.25">
      <c r="A27" s="3" t="s">
        <v>111</v>
      </c>
      <c r="B27" s="3">
        <f>COUNTIF('06_Test_Execution'!B3:B59,"Cart")</f>
        <v>10</v>
      </c>
      <c r="C27" s="3">
        <f>COUNTIFS('06_Test_Execution'!B3:B59,"Cart",'06_Test_Execution'!D3:D59,"Pass")</f>
        <v>0</v>
      </c>
      <c r="D27" s="3">
        <f>COUNTIFS('06_Test_Execution'!B3:B59,"Cart",'06_Test_Execution'!D3:D59,"Fail")</f>
        <v>0</v>
      </c>
      <c r="E27" s="3">
        <f>COUNTIFS('06_Test_Execution'!B3:B59,"Cart",'06_Test_Execution'!D3:D59,"Blocked")</f>
        <v>0</v>
      </c>
      <c r="F27" s="3">
        <f>COUNTIFS('06_Test_Execution'!B3:B59,"Cart",'06_Test_Execution'!D3:D59,"Not Executed")</f>
        <v>10</v>
      </c>
      <c r="G27" s="4">
        <f>IF(C25=0,0,C25/B25)</f>
        <v>0</v>
      </c>
    </row>
    <row r="28" spans="1:7" x14ac:dyDescent="0.25">
      <c r="A28" s="2" t="s">
        <v>122</v>
      </c>
      <c r="B28" s="2">
        <f>COUNTIF('06_Test_Execution'!B3:B59,"Checkout")</f>
        <v>10</v>
      </c>
      <c r="C28" s="2">
        <f>COUNTIFS('06_Test_Execution'!B3:B59,"Checkout",'06_Test_Execution'!D3:D59,"Pass")</f>
        <v>0</v>
      </c>
      <c r="D28" s="2">
        <f>COUNTIFS('06_Test_Execution'!B3:B59,"Checkout",'06_Test_Execution'!D3:D59,"Fail")</f>
        <v>0</v>
      </c>
      <c r="E28" s="2">
        <f>COUNTIFS('06_Test_Execution'!B3:B59,"Checkout",'06_Test_Execution'!D3:D59,"Blocked")</f>
        <v>0</v>
      </c>
      <c r="F28" s="2">
        <f>COUNTIFS('06_Test_Execution'!B3:B59,"Checkout",'06_Test_Execution'!D3:D59,"Not Executed")</f>
        <v>10</v>
      </c>
      <c r="G28" s="5">
        <f>IF(C25=0,0,C25/B25)</f>
        <v>0</v>
      </c>
    </row>
    <row r="29" spans="1:7" x14ac:dyDescent="0.25">
      <c r="A29" s="3" t="s">
        <v>129</v>
      </c>
      <c r="B29" s="3">
        <f>COUNTIF('06_Test_Execution'!B3:B59,"Checkout Overview")</f>
        <v>7</v>
      </c>
      <c r="C29" s="3">
        <f>COUNTIFS('06_Test_Execution'!B3:B59,"Checkout Overview",'06_Test_Execution'!D3:D59,"Pass")</f>
        <v>0</v>
      </c>
      <c r="D29" s="3">
        <f>COUNTIFS('06_Test_Execution'!B3:B59,"Checkout Overview",'06_Test_Execution'!D3:D59,"Fail")</f>
        <v>0</v>
      </c>
      <c r="E29" s="3">
        <f>COUNTIFS('06_Test_Execution'!B3:B59,"Checkout Overview",'06_Test_Execution'!D3:D59,"Blocked")</f>
        <v>0</v>
      </c>
      <c r="F29" s="3">
        <f>COUNTIFS('06_Test_Execution'!B3:B59,"Checkout Overview",'06_Test_Execution'!D3:D59,"Not Executed")</f>
        <v>7</v>
      </c>
      <c r="G29" s="4">
        <f>IF(C25=0,0,C25/B25)</f>
        <v>0</v>
      </c>
    </row>
    <row r="30" spans="1:7" x14ac:dyDescent="0.25">
      <c r="A30" s="2" t="s">
        <v>136</v>
      </c>
      <c r="B30" s="2">
        <f>COUNTIF('06_Test_Execution'!B3:B59,"Order Completion")</f>
        <v>3</v>
      </c>
      <c r="C30" s="2">
        <f>COUNTIFS('06_Test_Execution'!B3:B59,"Order Completion",'06_Test_Execution'!D3:D59,"Pass")</f>
        <v>0</v>
      </c>
      <c r="D30" s="2">
        <f>COUNTIFS('06_Test_Execution'!B3:B59,"Order Completion",'06_Test_Execution'!D3:D59,"Fail")</f>
        <v>0</v>
      </c>
      <c r="E30" s="2">
        <f>COUNTIFS('06_Test_Execution'!B3:B59,"Order Completion",'06_Test_Execution'!D3:D59,"Blocked")</f>
        <v>0</v>
      </c>
      <c r="F30" s="2">
        <f>COUNTIFS('06_Test_Execution'!B3:B59,"Order Completion",'06_Test_Execution'!D3:D59,"Not Executed")</f>
        <v>3</v>
      </c>
      <c r="G30" s="5">
        <f>IF(C25=0,0,C25/B25)</f>
        <v>0</v>
      </c>
    </row>
    <row r="31" spans="1:7" x14ac:dyDescent="0.25">
      <c r="A31" s="3" t="s">
        <v>141</v>
      </c>
      <c r="B31" s="3">
        <f>COUNTIF('06_Test_Execution'!B3:B59,"Navigation")</f>
        <v>4</v>
      </c>
      <c r="C31" s="3">
        <f>COUNTIFS('06_Test_Execution'!B3:B59,"Navigation",'06_Test_Execution'!D3:D59,"Pass")</f>
        <v>0</v>
      </c>
      <c r="D31" s="3">
        <f>COUNTIFS('06_Test_Execution'!B3:B59,"Navigation",'06_Test_Execution'!D3:D59,"Fail")</f>
        <v>0</v>
      </c>
      <c r="E31" s="3">
        <f>COUNTIFS('06_Test_Execution'!B3:B59,"Navigation",'06_Test_Execution'!D3:D59,"Blocked")</f>
        <v>0</v>
      </c>
      <c r="F31" s="3">
        <f>COUNTIFS('06_Test_Execution'!B3:B59,"Navigation",'06_Test_Execution'!D3:D59,"Not Executed")</f>
        <v>4</v>
      </c>
      <c r="G31" s="4">
        <f>IF(C25=0,0,C25/B25)</f>
        <v>0</v>
      </c>
    </row>
    <row r="32" spans="1:7" x14ac:dyDescent="0.25">
      <c r="A32" s="2" t="s">
        <v>146</v>
      </c>
      <c r="B32" s="2">
        <f>COUNTIF('06_Test_Execution'!B3:B59,"UI/Usability")</f>
        <v>3</v>
      </c>
      <c r="C32" s="2">
        <f>COUNTIFS('06_Test_Execution'!B3:B59,"UI/Usability",'06_Test_Execution'!D3:D59,"Pass")</f>
        <v>0</v>
      </c>
      <c r="D32" s="2">
        <f>COUNTIFS('06_Test_Execution'!B3:B59,"UI/Usability",'06_Test_Execution'!D3:D59,"Fail")</f>
        <v>0</v>
      </c>
      <c r="E32" s="2">
        <f>COUNTIFS('06_Test_Execution'!B3:B59,"UI/Usability",'06_Test_Execution'!D3:D59,"Blocked")</f>
        <v>0</v>
      </c>
      <c r="F32" s="2">
        <f>COUNTIFS('06_Test_Execution'!B3:B59,"UI/Usability",'06_Test_Execution'!D3:D59,"Not Executed")</f>
        <v>3</v>
      </c>
      <c r="G32" s="5">
        <f>IF(C25=0,0,C25/B25)</f>
        <v>0</v>
      </c>
    </row>
  </sheetData>
  <autoFilter ref="A25:G32"/>
  <mergeCells count="1">
    <mergeCell ref="A1:D1"/>
  </mergeCells>
  <pageMargins left="0.75" right="0.75" top="1" bottom="1" header="0.5" footer="0.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GridLines="0" workbookViewId="0">
      <pane ySplit="1" topLeftCell="A2" activePane="bottomLeft" state="frozen"/>
      <selection pane="bottomLeft" sqref="A1:H1"/>
    </sheetView>
  </sheetViews>
  <sheetFormatPr defaultRowHeight="15" x14ac:dyDescent="0.25"/>
  <cols>
    <col min="1" max="1" width="20" customWidth="1"/>
    <col min="2" max="2" width="55" customWidth="1"/>
    <col min="3" max="3" width="40" customWidth="1"/>
    <col min="4" max="4" width="65" customWidth="1"/>
    <col min="5" max="6" width="18" customWidth="1"/>
    <col min="7" max="7" width="20" customWidth="1"/>
    <col min="8" max="8" width="55" customWidth="1"/>
  </cols>
  <sheetData>
    <row r="1" spans="1:8" ht="27.95" customHeight="1" x14ac:dyDescent="0.25">
      <c r="A1" s="18" t="s">
        <v>610</v>
      </c>
      <c r="B1" s="19"/>
      <c r="C1" s="19"/>
      <c r="D1" s="19"/>
      <c r="E1" s="19"/>
      <c r="F1" s="19"/>
      <c r="G1" s="19"/>
      <c r="H1" s="19"/>
    </row>
    <row r="3" spans="1:8" ht="33.950000000000003" customHeight="1" x14ac:dyDescent="0.25">
      <c r="A3" s="1" t="s">
        <v>285</v>
      </c>
      <c r="B3" s="1" t="s">
        <v>89</v>
      </c>
      <c r="C3" s="1" t="s">
        <v>611</v>
      </c>
      <c r="D3" s="1" t="s">
        <v>612</v>
      </c>
      <c r="E3" s="1" t="s">
        <v>613</v>
      </c>
      <c r="F3" s="1" t="s">
        <v>291</v>
      </c>
      <c r="G3" s="1" t="s">
        <v>614</v>
      </c>
      <c r="H3" s="1" t="s">
        <v>565</v>
      </c>
    </row>
    <row r="4" spans="1:8" x14ac:dyDescent="0.25">
      <c r="A4" s="2" t="s">
        <v>90</v>
      </c>
      <c r="B4" s="2" t="s">
        <v>92</v>
      </c>
      <c r="C4" s="2" t="s">
        <v>153</v>
      </c>
      <c r="D4" s="2" t="s">
        <v>294</v>
      </c>
      <c r="E4" s="2" t="s">
        <v>299</v>
      </c>
      <c r="F4" s="2"/>
      <c r="G4" s="2" t="s">
        <v>615</v>
      </c>
      <c r="H4" s="2" t="s">
        <v>616</v>
      </c>
    </row>
    <row r="5" spans="1:8" x14ac:dyDescent="0.25">
      <c r="A5" s="3" t="s">
        <v>93</v>
      </c>
      <c r="B5" s="3" t="s">
        <v>94</v>
      </c>
      <c r="C5" s="3" t="s">
        <v>617</v>
      </c>
      <c r="D5" s="3" t="s">
        <v>618</v>
      </c>
      <c r="E5" s="3" t="s">
        <v>299</v>
      </c>
      <c r="F5" s="3"/>
      <c r="G5" s="3" t="s">
        <v>615</v>
      </c>
      <c r="H5" s="3" t="s">
        <v>616</v>
      </c>
    </row>
    <row r="6" spans="1:8" x14ac:dyDescent="0.25">
      <c r="A6" s="2" t="s">
        <v>95</v>
      </c>
      <c r="B6" s="2" t="s">
        <v>96</v>
      </c>
      <c r="C6" s="2" t="s">
        <v>164</v>
      </c>
      <c r="D6" s="2" t="s">
        <v>324</v>
      </c>
      <c r="E6" s="2" t="s">
        <v>299</v>
      </c>
      <c r="F6" s="2"/>
      <c r="G6" s="2" t="s">
        <v>615</v>
      </c>
      <c r="H6" s="2" t="s">
        <v>616</v>
      </c>
    </row>
    <row r="7" spans="1:8" x14ac:dyDescent="0.25">
      <c r="A7" s="3" t="s">
        <v>97</v>
      </c>
      <c r="B7" s="3" t="s">
        <v>98</v>
      </c>
      <c r="C7" s="3" t="s">
        <v>162</v>
      </c>
      <c r="D7" s="3" t="s">
        <v>619</v>
      </c>
      <c r="E7" s="3" t="s">
        <v>299</v>
      </c>
      <c r="F7" s="3"/>
      <c r="G7" s="3" t="s">
        <v>615</v>
      </c>
      <c r="H7" s="3" t="s">
        <v>616</v>
      </c>
    </row>
    <row r="8" spans="1:8" x14ac:dyDescent="0.25">
      <c r="A8" s="2" t="s">
        <v>99</v>
      </c>
      <c r="B8" s="2" t="s">
        <v>100</v>
      </c>
      <c r="C8" s="2" t="s">
        <v>166</v>
      </c>
      <c r="D8" s="2" t="s">
        <v>620</v>
      </c>
      <c r="E8" s="2" t="s">
        <v>299</v>
      </c>
      <c r="F8" s="2"/>
      <c r="G8" s="2" t="s">
        <v>615</v>
      </c>
      <c r="H8" s="2" t="s">
        <v>616</v>
      </c>
    </row>
    <row r="9" spans="1:8" x14ac:dyDescent="0.25">
      <c r="A9" s="3" t="s">
        <v>101</v>
      </c>
      <c r="B9" s="3" t="s">
        <v>103</v>
      </c>
      <c r="C9" s="3" t="s">
        <v>168</v>
      </c>
      <c r="D9" s="3" t="s">
        <v>621</v>
      </c>
      <c r="E9" s="3" t="s">
        <v>299</v>
      </c>
      <c r="F9" s="3"/>
      <c r="G9" s="3" t="s">
        <v>615</v>
      </c>
      <c r="H9" s="3" t="s">
        <v>616</v>
      </c>
    </row>
    <row r="10" spans="1:8" x14ac:dyDescent="0.25">
      <c r="A10" s="2" t="s">
        <v>104</v>
      </c>
      <c r="B10" s="2" t="s">
        <v>105</v>
      </c>
      <c r="C10" s="2" t="s">
        <v>170</v>
      </c>
      <c r="D10" s="2" t="s">
        <v>349</v>
      </c>
      <c r="E10" s="2" t="s">
        <v>299</v>
      </c>
      <c r="F10" s="2"/>
      <c r="G10" s="2" t="s">
        <v>615</v>
      </c>
      <c r="H10" s="2" t="s">
        <v>616</v>
      </c>
    </row>
    <row r="11" spans="1:8" x14ac:dyDescent="0.25">
      <c r="A11" s="3" t="s">
        <v>106</v>
      </c>
      <c r="B11" s="3" t="s">
        <v>107</v>
      </c>
      <c r="C11" s="3" t="s">
        <v>173</v>
      </c>
      <c r="D11" s="3" t="s">
        <v>622</v>
      </c>
      <c r="E11" s="3" t="s">
        <v>299</v>
      </c>
      <c r="F11" s="3"/>
      <c r="G11" s="3" t="s">
        <v>615</v>
      </c>
      <c r="H11" s="3" t="s">
        <v>616</v>
      </c>
    </row>
    <row r="12" spans="1:8" x14ac:dyDescent="0.25">
      <c r="A12" s="2" t="s">
        <v>108</v>
      </c>
      <c r="B12" s="2" t="s">
        <v>109</v>
      </c>
      <c r="C12" s="2" t="s">
        <v>175</v>
      </c>
      <c r="D12" s="2" t="s">
        <v>623</v>
      </c>
      <c r="E12" s="2" t="s">
        <v>299</v>
      </c>
      <c r="F12" s="2"/>
      <c r="G12" s="2" t="s">
        <v>615</v>
      </c>
      <c r="H12" s="2" t="s">
        <v>616</v>
      </c>
    </row>
    <row r="13" spans="1:8" x14ac:dyDescent="0.25">
      <c r="A13" s="3" t="s">
        <v>110</v>
      </c>
      <c r="B13" s="3" t="s">
        <v>112</v>
      </c>
      <c r="C13" s="3" t="s">
        <v>177</v>
      </c>
      <c r="D13" s="3" t="s">
        <v>389</v>
      </c>
      <c r="E13" s="3" t="s">
        <v>299</v>
      </c>
      <c r="F13" s="3"/>
      <c r="G13" s="3" t="s">
        <v>615</v>
      </c>
      <c r="H13" s="3" t="s">
        <v>616</v>
      </c>
    </row>
    <row r="14" spans="1:8" x14ac:dyDescent="0.25">
      <c r="A14" s="2" t="s">
        <v>113</v>
      </c>
      <c r="B14" s="2" t="s">
        <v>114</v>
      </c>
      <c r="C14" s="2" t="s">
        <v>179</v>
      </c>
      <c r="D14" s="2" t="s">
        <v>624</v>
      </c>
      <c r="E14" s="2" t="s">
        <v>299</v>
      </c>
      <c r="F14" s="2"/>
      <c r="G14" s="2" t="s">
        <v>615</v>
      </c>
      <c r="H14" s="2" t="s">
        <v>616</v>
      </c>
    </row>
    <row r="15" spans="1:8" x14ac:dyDescent="0.25">
      <c r="A15" s="3" t="s">
        <v>115</v>
      </c>
      <c r="B15" s="3" t="s">
        <v>116</v>
      </c>
      <c r="C15" s="3"/>
      <c r="D15" s="3" t="s">
        <v>625</v>
      </c>
      <c r="E15" s="3" t="s">
        <v>299</v>
      </c>
      <c r="F15" s="3"/>
      <c r="G15" s="3" t="s">
        <v>615</v>
      </c>
      <c r="H15" s="3" t="s">
        <v>616</v>
      </c>
    </row>
    <row r="16" spans="1:8" x14ac:dyDescent="0.25">
      <c r="A16" s="2" t="s">
        <v>117</v>
      </c>
      <c r="B16" s="2" t="s">
        <v>118</v>
      </c>
      <c r="C16" s="2" t="s">
        <v>626</v>
      </c>
      <c r="D16" s="2" t="s">
        <v>627</v>
      </c>
      <c r="E16" s="2" t="s">
        <v>299</v>
      </c>
      <c r="F16" s="2"/>
      <c r="G16" s="2" t="s">
        <v>615</v>
      </c>
      <c r="H16" s="2" t="s">
        <v>616</v>
      </c>
    </row>
    <row r="17" spans="1:8" x14ac:dyDescent="0.25">
      <c r="A17" s="3" t="s">
        <v>119</v>
      </c>
      <c r="B17" s="3" t="s">
        <v>120</v>
      </c>
      <c r="C17" s="3" t="s">
        <v>183</v>
      </c>
      <c r="D17" s="3" t="s">
        <v>416</v>
      </c>
      <c r="E17" s="3" t="s">
        <v>299</v>
      </c>
      <c r="F17" s="3"/>
      <c r="G17" s="3" t="s">
        <v>615</v>
      </c>
      <c r="H17" s="3" t="s">
        <v>616</v>
      </c>
    </row>
    <row r="18" spans="1:8" ht="30" x14ac:dyDescent="0.25">
      <c r="A18" s="2" t="s">
        <v>121</v>
      </c>
      <c r="B18" s="2" t="s">
        <v>123</v>
      </c>
      <c r="C18" s="2" t="s">
        <v>188</v>
      </c>
      <c r="D18" s="2" t="s">
        <v>628</v>
      </c>
      <c r="E18" s="2" t="s">
        <v>299</v>
      </c>
      <c r="F18" s="2"/>
      <c r="G18" s="2" t="s">
        <v>615</v>
      </c>
      <c r="H18" s="2" t="s">
        <v>616</v>
      </c>
    </row>
    <row r="19" spans="1:8" ht="30" x14ac:dyDescent="0.25">
      <c r="A19" s="3" t="s">
        <v>124</v>
      </c>
      <c r="B19" s="3" t="s">
        <v>125</v>
      </c>
      <c r="C19" s="3" t="s">
        <v>629</v>
      </c>
      <c r="D19" s="3" t="s">
        <v>630</v>
      </c>
      <c r="E19" s="3" t="s">
        <v>299</v>
      </c>
      <c r="F19" s="3"/>
      <c r="G19" s="3" t="s">
        <v>615</v>
      </c>
      <c r="H19" s="3" t="s">
        <v>616</v>
      </c>
    </row>
    <row r="20" spans="1:8" x14ac:dyDescent="0.25">
      <c r="A20" s="2" t="s">
        <v>126</v>
      </c>
      <c r="B20" s="2" t="s">
        <v>127</v>
      </c>
      <c r="C20" s="2" t="s">
        <v>196</v>
      </c>
      <c r="D20" s="2" t="s">
        <v>631</v>
      </c>
      <c r="E20" s="2" t="s">
        <v>299</v>
      </c>
      <c r="F20" s="2"/>
      <c r="G20" s="2" t="s">
        <v>615</v>
      </c>
      <c r="H20" s="2" t="s">
        <v>616</v>
      </c>
    </row>
    <row r="21" spans="1:8" x14ac:dyDescent="0.25">
      <c r="A21" s="3" t="s">
        <v>128</v>
      </c>
      <c r="B21" s="3" t="s">
        <v>130</v>
      </c>
      <c r="C21" s="3" t="s">
        <v>199</v>
      </c>
      <c r="D21" s="3" t="s">
        <v>632</v>
      </c>
      <c r="E21" s="3" t="s">
        <v>299</v>
      </c>
      <c r="F21" s="3"/>
      <c r="G21" s="3" t="s">
        <v>615</v>
      </c>
      <c r="H21" s="3" t="s">
        <v>616</v>
      </c>
    </row>
    <row r="22" spans="1:8" x14ac:dyDescent="0.25">
      <c r="A22" s="2" t="s">
        <v>131</v>
      </c>
      <c r="B22" s="2" t="s">
        <v>132</v>
      </c>
      <c r="C22" s="2" t="s">
        <v>201</v>
      </c>
      <c r="D22" s="2" t="s">
        <v>633</v>
      </c>
      <c r="E22" s="2" t="s">
        <v>299</v>
      </c>
      <c r="F22" s="2"/>
      <c r="G22" s="2" t="s">
        <v>615</v>
      </c>
      <c r="H22" s="2" t="s">
        <v>616</v>
      </c>
    </row>
    <row r="23" spans="1:8" x14ac:dyDescent="0.25">
      <c r="A23" s="3" t="s">
        <v>133</v>
      </c>
      <c r="B23" s="3" t="s">
        <v>134</v>
      </c>
      <c r="C23" s="3" t="s">
        <v>203</v>
      </c>
      <c r="D23" s="3" t="s">
        <v>634</v>
      </c>
      <c r="E23" s="3" t="s">
        <v>299</v>
      </c>
      <c r="F23" s="3"/>
      <c r="G23" s="3" t="s">
        <v>615</v>
      </c>
      <c r="H23" s="3" t="s">
        <v>616</v>
      </c>
    </row>
    <row r="24" spans="1:8" x14ac:dyDescent="0.25">
      <c r="A24" s="2" t="s">
        <v>135</v>
      </c>
      <c r="B24" s="2" t="s">
        <v>137</v>
      </c>
      <c r="C24" s="2" t="s">
        <v>205</v>
      </c>
      <c r="D24" s="2" t="s">
        <v>635</v>
      </c>
      <c r="E24" s="2" t="s">
        <v>299</v>
      </c>
      <c r="F24" s="2"/>
      <c r="G24" s="2" t="s">
        <v>615</v>
      </c>
      <c r="H24" s="2" t="s">
        <v>616</v>
      </c>
    </row>
    <row r="25" spans="1:8" x14ac:dyDescent="0.25">
      <c r="A25" s="3" t="s">
        <v>138</v>
      </c>
      <c r="B25" s="3" t="s">
        <v>139</v>
      </c>
      <c r="C25" s="3"/>
      <c r="D25" s="3" t="s">
        <v>518</v>
      </c>
      <c r="E25" s="3" t="s">
        <v>299</v>
      </c>
      <c r="F25" s="3"/>
      <c r="G25" s="3" t="s">
        <v>615</v>
      </c>
      <c r="H25" s="3" t="s">
        <v>616</v>
      </c>
    </row>
    <row r="26" spans="1:8" x14ac:dyDescent="0.25">
      <c r="A26" s="2" t="s">
        <v>140</v>
      </c>
      <c r="B26" s="2" t="s">
        <v>142</v>
      </c>
      <c r="C26" s="2" t="s">
        <v>207</v>
      </c>
      <c r="D26" s="2" t="s">
        <v>636</v>
      </c>
      <c r="E26" s="2" t="s">
        <v>299</v>
      </c>
      <c r="F26" s="2"/>
      <c r="G26" s="2" t="s">
        <v>615</v>
      </c>
      <c r="H26" s="2" t="s">
        <v>616</v>
      </c>
    </row>
    <row r="27" spans="1:8" x14ac:dyDescent="0.25">
      <c r="A27" s="3" t="s">
        <v>143</v>
      </c>
      <c r="B27" s="3" t="s">
        <v>144</v>
      </c>
      <c r="C27" s="3"/>
      <c r="D27" s="3" t="s">
        <v>637</v>
      </c>
      <c r="E27" s="3" t="s">
        <v>299</v>
      </c>
      <c r="F27" s="3"/>
      <c r="G27" s="3" t="s">
        <v>615</v>
      </c>
      <c r="H27" s="3" t="s">
        <v>616</v>
      </c>
    </row>
    <row r="28" spans="1:8" ht="30" x14ac:dyDescent="0.25">
      <c r="A28" s="2" t="s">
        <v>145</v>
      </c>
      <c r="B28" s="2" t="s">
        <v>147</v>
      </c>
      <c r="C28" s="2"/>
      <c r="D28" s="2" t="s">
        <v>638</v>
      </c>
      <c r="E28" s="2" t="s">
        <v>299</v>
      </c>
      <c r="F28" s="2"/>
      <c r="G28" s="2" t="s">
        <v>615</v>
      </c>
      <c r="H28" s="2" t="s">
        <v>616</v>
      </c>
    </row>
  </sheetData>
  <autoFilter ref="A4:H28"/>
  <mergeCells count="1">
    <mergeCell ref="A1:H1"/>
  </mergeCells>
  <dataValidations count="1">
    <dataValidation type="list" sqref="E4:E28">
      <formula1>"Pass,Fail,Blocked,Not Executed"</formula1>
    </dataValidation>
  </dataValidations>
  <pageMargins left="0.75" right="0.75" top="1" bottom="1" header="0.5" footer="0.5"/>
  <pageSetup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"/>
  <sheetViews>
    <sheetView showGridLines="0" workbookViewId="0">
      <pane ySplit="1" topLeftCell="A2" activePane="bottomLeft" state="frozen"/>
      <selection pane="bottomLeft" sqref="A1:E1"/>
    </sheetView>
  </sheetViews>
  <sheetFormatPr defaultRowHeight="15" x14ac:dyDescent="0.25"/>
  <cols>
    <col min="1" max="1" width="20" customWidth="1"/>
    <col min="2" max="2" width="45" customWidth="1"/>
    <col min="3" max="3" width="80" customWidth="1"/>
    <col min="4" max="4" width="25" customWidth="1"/>
    <col min="5" max="5" width="50" customWidth="1"/>
  </cols>
  <sheetData>
    <row r="1" spans="1:5" ht="27.95" customHeight="1" x14ac:dyDescent="0.25">
      <c r="A1" s="18" t="s">
        <v>639</v>
      </c>
      <c r="B1" s="19"/>
      <c r="C1" s="19"/>
      <c r="D1" s="19"/>
      <c r="E1" s="19"/>
    </row>
    <row r="3" spans="1:5" ht="33.950000000000003" customHeight="1" x14ac:dyDescent="0.25">
      <c r="A3" s="1" t="s">
        <v>640</v>
      </c>
      <c r="B3" s="1" t="s">
        <v>641</v>
      </c>
      <c r="C3" s="1" t="s">
        <v>642</v>
      </c>
      <c r="D3" s="1" t="s">
        <v>4</v>
      </c>
      <c r="E3" s="1" t="s">
        <v>643</v>
      </c>
    </row>
    <row r="4" spans="1:5" x14ac:dyDescent="0.25">
      <c r="A4" s="2" t="s">
        <v>644</v>
      </c>
      <c r="B4" s="2" t="s">
        <v>645</v>
      </c>
      <c r="C4" s="2" t="s">
        <v>646</v>
      </c>
      <c r="D4" s="2" t="s">
        <v>8</v>
      </c>
      <c r="E4" s="2"/>
    </row>
    <row r="5" spans="1:5" x14ac:dyDescent="0.25">
      <c r="A5" s="3" t="s">
        <v>647</v>
      </c>
      <c r="B5" s="3" t="s">
        <v>648</v>
      </c>
      <c r="C5" s="3" t="s">
        <v>649</v>
      </c>
      <c r="D5" s="3" t="s">
        <v>8</v>
      </c>
      <c r="E5" s="3"/>
    </row>
    <row r="6" spans="1:5" ht="30" x14ac:dyDescent="0.25">
      <c r="A6" s="2" t="s">
        <v>650</v>
      </c>
      <c r="B6" s="2" t="s">
        <v>651</v>
      </c>
      <c r="C6" s="2" t="s">
        <v>652</v>
      </c>
      <c r="D6" s="2" t="s">
        <v>8</v>
      </c>
      <c r="E6" s="2"/>
    </row>
    <row r="7" spans="1:5" x14ac:dyDescent="0.25">
      <c r="A7" s="3" t="s">
        <v>653</v>
      </c>
      <c r="B7" s="3" t="s">
        <v>654</v>
      </c>
      <c r="C7" s="3" t="s">
        <v>655</v>
      </c>
      <c r="D7" s="3" t="s">
        <v>8</v>
      </c>
      <c r="E7" s="3"/>
    </row>
    <row r="8" spans="1:5" x14ac:dyDescent="0.25">
      <c r="A8" s="2" t="s">
        <v>656</v>
      </c>
      <c r="B8" s="2" t="s">
        <v>573</v>
      </c>
      <c r="C8" s="2" t="s">
        <v>657</v>
      </c>
      <c r="D8" s="2" t="s">
        <v>8</v>
      </c>
      <c r="E8" s="2"/>
    </row>
    <row r="9" spans="1:5" x14ac:dyDescent="0.25">
      <c r="A9" s="3" t="s">
        <v>658</v>
      </c>
      <c r="B9" s="3" t="s">
        <v>659</v>
      </c>
      <c r="C9" s="3" t="s">
        <v>660</v>
      </c>
      <c r="D9" s="3" t="s">
        <v>8</v>
      </c>
      <c r="E9" s="3"/>
    </row>
    <row r="10" spans="1:5" x14ac:dyDescent="0.25">
      <c r="A10" s="2" t="s">
        <v>661</v>
      </c>
      <c r="B10" s="2" t="s">
        <v>662</v>
      </c>
      <c r="C10" s="2" t="s">
        <v>663</v>
      </c>
      <c r="D10" s="2" t="s">
        <v>8</v>
      </c>
      <c r="E10" s="2"/>
    </row>
  </sheetData>
  <autoFilter ref="A4:E10"/>
  <mergeCells count="1">
    <mergeCell ref="A1:E1"/>
  </mergeCells>
  <pageMargins left="0.75" right="0.75" top="1" bottom="1" header="0.5" footer="0.5"/>
  <pageSetup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showGridLines="0" workbookViewId="0">
      <pane ySplit="1" topLeftCell="A2" activePane="bottomLeft" state="frozen"/>
      <selection pane="bottomLeft" sqref="A1:D1"/>
    </sheetView>
  </sheetViews>
  <sheetFormatPr defaultRowHeight="15" x14ac:dyDescent="0.25"/>
  <cols>
    <col min="1" max="1" width="35" customWidth="1"/>
    <col min="2" max="2" width="65" customWidth="1"/>
    <col min="3" max="3" width="85" customWidth="1"/>
    <col min="4" max="4" width="25" customWidth="1"/>
  </cols>
  <sheetData>
    <row r="1" spans="1:4" ht="27.95" customHeight="1" x14ac:dyDescent="0.25">
      <c r="A1" s="18" t="s">
        <v>664</v>
      </c>
      <c r="B1" s="19"/>
      <c r="C1" s="19"/>
      <c r="D1" s="19"/>
    </row>
    <row r="3" spans="1:4" ht="33.950000000000003" customHeight="1" x14ac:dyDescent="0.25">
      <c r="A3" s="1" t="s">
        <v>665</v>
      </c>
      <c r="B3" s="1" t="s">
        <v>666</v>
      </c>
      <c r="C3" s="1" t="s">
        <v>667</v>
      </c>
      <c r="D3" s="1" t="s">
        <v>4</v>
      </c>
    </row>
    <row r="4" spans="1:4" x14ac:dyDescent="0.25">
      <c r="A4" s="2" t="s">
        <v>668</v>
      </c>
      <c r="B4" s="2" t="s">
        <v>669</v>
      </c>
      <c r="C4" s="2" t="s">
        <v>670</v>
      </c>
      <c r="D4" s="2" t="s">
        <v>8</v>
      </c>
    </row>
    <row r="5" spans="1:4" ht="30" x14ac:dyDescent="0.25">
      <c r="A5" s="3" t="s">
        <v>671</v>
      </c>
      <c r="B5" s="3" t="s">
        <v>672</v>
      </c>
      <c r="C5" s="3" t="s">
        <v>673</v>
      </c>
      <c r="D5" s="3" t="s">
        <v>8</v>
      </c>
    </row>
    <row r="6" spans="1:4" x14ac:dyDescent="0.25">
      <c r="A6" s="2" t="s">
        <v>674</v>
      </c>
      <c r="B6" s="2" t="s">
        <v>675</v>
      </c>
      <c r="C6" s="2" t="s">
        <v>676</v>
      </c>
      <c r="D6" s="2" t="s">
        <v>8</v>
      </c>
    </row>
    <row r="7" spans="1:4" x14ac:dyDescent="0.25">
      <c r="A7" s="3" t="s">
        <v>677</v>
      </c>
      <c r="B7" s="3" t="s">
        <v>678</v>
      </c>
      <c r="C7" s="3" t="s">
        <v>679</v>
      </c>
      <c r="D7" s="3" t="s">
        <v>8</v>
      </c>
    </row>
    <row r="8" spans="1:4" x14ac:dyDescent="0.25">
      <c r="A8" s="2" t="s">
        <v>680</v>
      </c>
      <c r="B8" s="2" t="s">
        <v>681</v>
      </c>
      <c r="C8" s="2" t="s">
        <v>682</v>
      </c>
      <c r="D8" s="2" t="s">
        <v>8</v>
      </c>
    </row>
    <row r="9" spans="1:4" x14ac:dyDescent="0.25">
      <c r="A9" s="3" t="s">
        <v>683</v>
      </c>
      <c r="B9" s="3" t="s">
        <v>17</v>
      </c>
      <c r="C9" s="3" t="s">
        <v>684</v>
      </c>
      <c r="D9" s="3" t="s">
        <v>8</v>
      </c>
    </row>
    <row r="10" spans="1:4" x14ac:dyDescent="0.25">
      <c r="A10" s="2" t="s">
        <v>685</v>
      </c>
      <c r="B10" s="2" t="s">
        <v>576</v>
      </c>
      <c r="C10" s="2" t="s">
        <v>686</v>
      </c>
      <c r="D10" s="2" t="s">
        <v>8</v>
      </c>
    </row>
    <row r="11" spans="1:4" x14ac:dyDescent="0.25">
      <c r="A11" s="3" t="s">
        <v>687</v>
      </c>
      <c r="B11" s="3" t="s">
        <v>688</v>
      </c>
      <c r="C11" s="3" t="s">
        <v>689</v>
      </c>
      <c r="D11" s="3" t="s">
        <v>8</v>
      </c>
    </row>
    <row r="12" spans="1:4" x14ac:dyDescent="0.25">
      <c r="A12" s="2" t="s">
        <v>690</v>
      </c>
      <c r="B12" s="2" t="s">
        <v>610</v>
      </c>
      <c r="C12" s="2" t="s">
        <v>691</v>
      </c>
      <c r="D12" s="2" t="s">
        <v>8</v>
      </c>
    </row>
    <row r="13" spans="1:4" x14ac:dyDescent="0.25">
      <c r="A13" s="3" t="s">
        <v>692</v>
      </c>
      <c r="B13" s="3" t="s">
        <v>693</v>
      </c>
      <c r="C13" s="3" t="s">
        <v>694</v>
      </c>
      <c r="D13" s="3" t="s">
        <v>8</v>
      </c>
    </row>
    <row r="14" spans="1:4" x14ac:dyDescent="0.25">
      <c r="A14" s="2" t="s">
        <v>695</v>
      </c>
      <c r="B14" s="2" t="s">
        <v>696</v>
      </c>
      <c r="C14" s="2" t="s">
        <v>697</v>
      </c>
      <c r="D14" s="2" t="s">
        <v>8</v>
      </c>
    </row>
  </sheetData>
  <autoFilter ref="A4:D14"/>
  <mergeCells count="1">
    <mergeCell ref="A1:D1"/>
  </mergeCells>
  <pageMargins left="0.75" right="0.75" top="1" bottom="1" header="0.5" footer="0.5"/>
  <pageSetup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5"/>
  <sheetViews>
    <sheetView showGridLines="0" workbookViewId="0">
      <pane ySplit="1" topLeftCell="A2" activePane="bottomLeft" state="frozen"/>
      <selection pane="bottomLeft" sqref="A1:B1"/>
    </sheetView>
  </sheetViews>
  <sheetFormatPr defaultRowHeight="15" x14ac:dyDescent="0.25"/>
  <cols>
    <col min="1" max="1" width="30" customWidth="1"/>
    <col min="2" max="2" width="110" customWidth="1"/>
  </cols>
  <sheetData>
    <row r="1" spans="1:2" ht="27.95" customHeight="1" x14ac:dyDescent="0.25">
      <c r="A1" s="18" t="s">
        <v>698</v>
      </c>
      <c r="B1" s="19"/>
    </row>
    <row r="3" spans="1:2" ht="33.950000000000003" customHeight="1" x14ac:dyDescent="0.25">
      <c r="A3" s="1" t="s">
        <v>40</v>
      </c>
      <c r="B3" s="1" t="s">
        <v>41</v>
      </c>
    </row>
    <row r="4" spans="1:2" x14ac:dyDescent="0.25">
      <c r="A4" s="2" t="s">
        <v>699</v>
      </c>
      <c r="B4" s="2" t="s">
        <v>700</v>
      </c>
    </row>
    <row r="5" spans="1:2" x14ac:dyDescent="0.25">
      <c r="A5" s="3" t="s">
        <v>701</v>
      </c>
      <c r="B5" s="3" t="s">
        <v>581</v>
      </c>
    </row>
    <row r="6" spans="1:2" x14ac:dyDescent="0.25">
      <c r="A6" s="2" t="s">
        <v>702</v>
      </c>
      <c r="B6" s="2" t="s">
        <v>49</v>
      </c>
    </row>
    <row r="7" spans="1:2" x14ac:dyDescent="0.25">
      <c r="A7" s="3" t="s">
        <v>50</v>
      </c>
      <c r="B7" s="3" t="s">
        <v>703</v>
      </c>
    </row>
    <row r="8" spans="1:2" ht="30" x14ac:dyDescent="0.25">
      <c r="A8" s="2" t="s">
        <v>52</v>
      </c>
      <c r="B8" s="2" t="s">
        <v>704</v>
      </c>
    </row>
    <row r="9" spans="1:2" x14ac:dyDescent="0.25">
      <c r="A9" s="3" t="s">
        <v>705</v>
      </c>
      <c r="B9" s="3" t="s">
        <v>706</v>
      </c>
    </row>
    <row r="10" spans="1:2" ht="30" x14ac:dyDescent="0.25">
      <c r="A10" s="2" t="s">
        <v>707</v>
      </c>
      <c r="B10" s="2" t="s">
        <v>708</v>
      </c>
    </row>
    <row r="11" spans="1:2" ht="30" x14ac:dyDescent="0.25">
      <c r="A11" s="3" t="s">
        <v>709</v>
      </c>
      <c r="B11" s="3" t="s">
        <v>710</v>
      </c>
    </row>
    <row r="12" spans="1:2" x14ac:dyDescent="0.25">
      <c r="A12" s="2" t="s">
        <v>588</v>
      </c>
      <c r="B12" s="2" t="s">
        <v>711</v>
      </c>
    </row>
    <row r="13" spans="1:2" x14ac:dyDescent="0.25">
      <c r="A13" s="3" t="s">
        <v>712</v>
      </c>
      <c r="B13" s="3" t="s">
        <v>713</v>
      </c>
    </row>
    <row r="14" spans="1:2" x14ac:dyDescent="0.25">
      <c r="A14" s="2" t="s">
        <v>714</v>
      </c>
      <c r="B14" s="2" t="s">
        <v>715</v>
      </c>
    </row>
    <row r="15" spans="1:2" x14ac:dyDescent="0.25">
      <c r="A15" s="3" t="s">
        <v>716</v>
      </c>
      <c r="B15" s="3" t="s">
        <v>717</v>
      </c>
    </row>
  </sheetData>
  <autoFilter ref="A4:B15"/>
  <mergeCells count="1">
    <mergeCell ref="A1:B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3"/>
  <sheetViews>
    <sheetView showGridLines="0" workbookViewId="0">
      <pane ySplit="1" topLeftCell="A2" activePane="bottomLeft" state="frozen"/>
      <selection pane="bottomLeft" sqref="A1:D1"/>
    </sheetView>
  </sheetViews>
  <sheetFormatPr defaultRowHeight="15" x14ac:dyDescent="0.25"/>
  <cols>
    <col min="1" max="1" width="8" customWidth="1"/>
    <col min="2" max="2" width="45" customWidth="1"/>
    <col min="3" max="3" width="85" customWidth="1"/>
    <col min="4" max="4" width="25" customWidth="1"/>
  </cols>
  <sheetData>
    <row r="1" spans="1:4" ht="27.95" customHeight="1" x14ac:dyDescent="0.25">
      <c r="A1" s="18" t="s">
        <v>718</v>
      </c>
      <c r="B1" s="19"/>
      <c r="C1" s="19"/>
      <c r="D1" s="19"/>
    </row>
    <row r="3" spans="1:4" ht="33.950000000000003" customHeight="1" x14ac:dyDescent="0.25">
      <c r="A3" s="1" t="s">
        <v>1</v>
      </c>
      <c r="B3" s="1" t="s">
        <v>719</v>
      </c>
      <c r="C3" s="1" t="s">
        <v>41</v>
      </c>
      <c r="D3" s="1" t="s">
        <v>4</v>
      </c>
    </row>
    <row r="4" spans="1:4" x14ac:dyDescent="0.25">
      <c r="A4" s="2">
        <v>1</v>
      </c>
      <c r="B4" s="2" t="s">
        <v>720</v>
      </c>
      <c r="C4" s="2" t="s">
        <v>721</v>
      </c>
      <c r="D4" s="2" t="s">
        <v>8</v>
      </c>
    </row>
    <row r="5" spans="1:4" x14ac:dyDescent="0.25">
      <c r="A5" s="3">
        <v>2</v>
      </c>
      <c r="B5" s="3" t="s">
        <v>722</v>
      </c>
      <c r="C5" s="3" t="s">
        <v>723</v>
      </c>
      <c r="D5" s="3" t="s">
        <v>8</v>
      </c>
    </row>
    <row r="6" spans="1:4" x14ac:dyDescent="0.25">
      <c r="A6" s="2">
        <v>3</v>
      </c>
      <c r="B6" s="2" t="s">
        <v>724</v>
      </c>
      <c r="C6" s="2" t="s">
        <v>725</v>
      </c>
      <c r="D6" s="2" t="s">
        <v>8</v>
      </c>
    </row>
    <row r="7" spans="1:4" x14ac:dyDescent="0.25">
      <c r="A7" s="3">
        <v>4</v>
      </c>
      <c r="B7" s="3" t="s">
        <v>726</v>
      </c>
      <c r="C7" s="3" t="s">
        <v>727</v>
      </c>
      <c r="D7" s="3" t="s">
        <v>8</v>
      </c>
    </row>
    <row r="8" spans="1:4" x14ac:dyDescent="0.25">
      <c r="A8" s="2">
        <v>5</v>
      </c>
      <c r="B8" s="2" t="s">
        <v>728</v>
      </c>
      <c r="C8" s="2" t="s">
        <v>729</v>
      </c>
      <c r="D8" s="2" t="s">
        <v>8</v>
      </c>
    </row>
    <row r="9" spans="1:4" x14ac:dyDescent="0.25">
      <c r="A9" s="3">
        <v>6</v>
      </c>
      <c r="B9" s="3" t="s">
        <v>730</v>
      </c>
      <c r="C9" s="3" t="s">
        <v>731</v>
      </c>
      <c r="D9" s="3" t="s">
        <v>8</v>
      </c>
    </row>
    <row r="10" spans="1:4" x14ac:dyDescent="0.25">
      <c r="A10" s="2">
        <v>7</v>
      </c>
      <c r="B10" s="2" t="s">
        <v>732</v>
      </c>
      <c r="C10" s="2" t="s">
        <v>733</v>
      </c>
      <c r="D10" s="2" t="s">
        <v>8</v>
      </c>
    </row>
    <row r="11" spans="1:4" x14ac:dyDescent="0.25">
      <c r="A11" s="3">
        <v>8</v>
      </c>
      <c r="B11" s="3" t="s">
        <v>734</v>
      </c>
      <c r="C11" s="3" t="s">
        <v>735</v>
      </c>
      <c r="D11" s="3" t="s">
        <v>8</v>
      </c>
    </row>
    <row r="12" spans="1:4" x14ac:dyDescent="0.25">
      <c r="A12" s="2">
        <v>9</v>
      </c>
      <c r="B12" s="2" t="s">
        <v>736</v>
      </c>
      <c r="C12" s="2" t="s">
        <v>737</v>
      </c>
      <c r="D12" s="2" t="s">
        <v>8</v>
      </c>
    </row>
    <row r="13" spans="1:4" x14ac:dyDescent="0.25">
      <c r="A13" s="3">
        <v>10</v>
      </c>
      <c r="B13" s="3" t="s">
        <v>738</v>
      </c>
      <c r="C13" s="3" t="s">
        <v>739</v>
      </c>
      <c r="D13" s="3" t="s">
        <v>8</v>
      </c>
    </row>
  </sheetData>
  <autoFilter ref="A4:D13"/>
  <mergeCells count="1">
    <mergeCell ref="A1:D1"/>
  </mergeCells>
  <pageMargins left="0.75" right="0.75" top="1" bottom="1" header="0.5" footer="0.5"/>
  <pageSetup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0"/>
  <sheetViews>
    <sheetView showGridLines="0" workbookViewId="0">
      <pane ySplit="1" topLeftCell="A2" activePane="bottomLeft" state="frozen"/>
      <selection pane="bottomLeft" sqref="A1:C1"/>
    </sheetView>
  </sheetViews>
  <sheetFormatPr defaultRowHeight="15" x14ac:dyDescent="0.25"/>
  <cols>
    <col min="1" max="1" width="28" customWidth="1"/>
    <col min="2" max="2" width="60" customWidth="1"/>
    <col min="3" max="3" width="65" customWidth="1"/>
  </cols>
  <sheetData>
    <row r="1" spans="1:3" ht="27.95" customHeight="1" x14ac:dyDescent="0.25">
      <c r="A1" s="18" t="s">
        <v>740</v>
      </c>
      <c r="B1" s="19"/>
      <c r="C1" s="19"/>
    </row>
    <row r="3" spans="1:3" ht="33.950000000000003" customHeight="1" x14ac:dyDescent="0.25">
      <c r="A3" s="1" t="s">
        <v>741</v>
      </c>
      <c r="B3" s="1" t="s">
        <v>742</v>
      </c>
      <c r="C3" s="1" t="s">
        <v>743</v>
      </c>
    </row>
    <row r="4" spans="1:3" x14ac:dyDescent="0.25">
      <c r="A4" s="2" t="s">
        <v>6</v>
      </c>
      <c r="B4" s="2" t="s">
        <v>744</v>
      </c>
      <c r="C4" s="2" t="s">
        <v>674</v>
      </c>
    </row>
    <row r="5" spans="1:3" x14ac:dyDescent="0.25">
      <c r="A5" s="3" t="s">
        <v>9</v>
      </c>
      <c r="B5" s="3" t="s">
        <v>745</v>
      </c>
      <c r="C5" s="3" t="s">
        <v>677</v>
      </c>
    </row>
    <row r="6" spans="1:3" x14ac:dyDescent="0.25">
      <c r="A6" s="2" t="s">
        <v>746</v>
      </c>
      <c r="B6" s="2" t="s">
        <v>747</v>
      </c>
      <c r="C6" s="2" t="s">
        <v>680</v>
      </c>
    </row>
    <row r="7" spans="1:3" x14ac:dyDescent="0.25">
      <c r="A7" s="3" t="s">
        <v>17</v>
      </c>
      <c r="B7" s="3" t="s">
        <v>748</v>
      </c>
      <c r="C7" s="3" t="s">
        <v>683</v>
      </c>
    </row>
    <row r="8" spans="1:3" x14ac:dyDescent="0.25">
      <c r="A8" s="2" t="s">
        <v>23</v>
      </c>
      <c r="B8" s="2" t="s">
        <v>749</v>
      </c>
      <c r="C8" s="2" t="s">
        <v>685</v>
      </c>
    </row>
    <row r="9" spans="1:3" x14ac:dyDescent="0.25">
      <c r="A9" s="3" t="s">
        <v>750</v>
      </c>
      <c r="B9" s="3" t="s">
        <v>751</v>
      </c>
      <c r="C9" s="3" t="s">
        <v>687</v>
      </c>
    </row>
    <row r="10" spans="1:3" x14ac:dyDescent="0.25">
      <c r="A10" s="2" t="s">
        <v>25</v>
      </c>
      <c r="B10" s="2" t="s">
        <v>752</v>
      </c>
      <c r="C10" s="2" t="s">
        <v>690</v>
      </c>
    </row>
  </sheetData>
  <autoFilter ref="A4:C10"/>
  <mergeCells count="1">
    <mergeCell ref="A1:C1"/>
  </mergeCells>
  <pageMargins left="0.75" right="0.75" top="1" bottom="1" header="0.5" footer="0.5"/>
  <pageSetup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3"/>
  <sheetViews>
    <sheetView showGridLines="0" tabSelected="1" workbookViewId="0">
      <pane ySplit="1" topLeftCell="A2" activePane="bottomLeft" state="frozen"/>
      <selection pane="bottomLeft" sqref="A1:B1"/>
    </sheetView>
  </sheetViews>
  <sheetFormatPr defaultRowHeight="15" x14ac:dyDescent="0.25"/>
  <cols>
    <col min="1" max="1" width="35" customWidth="1"/>
    <col min="2" max="2" width="90" customWidth="1"/>
  </cols>
  <sheetData>
    <row r="1" spans="1:2" ht="27.95" customHeight="1" x14ac:dyDescent="0.25">
      <c r="A1" s="18" t="s">
        <v>753</v>
      </c>
      <c r="B1" s="19"/>
    </row>
    <row r="3" spans="1:2" ht="33.950000000000003" customHeight="1" x14ac:dyDescent="0.25">
      <c r="A3" s="1" t="s">
        <v>754</v>
      </c>
      <c r="B3" s="1" t="s">
        <v>755</v>
      </c>
    </row>
    <row r="4" spans="1:2" x14ac:dyDescent="0.25">
      <c r="A4" s="2" t="s">
        <v>756</v>
      </c>
      <c r="B4" s="2" t="s">
        <v>757</v>
      </c>
    </row>
    <row r="5" spans="1:2" ht="30" x14ac:dyDescent="0.25">
      <c r="A5" s="3" t="s">
        <v>758</v>
      </c>
      <c r="B5" s="3" t="s">
        <v>759</v>
      </c>
    </row>
    <row r="6" spans="1:2" x14ac:dyDescent="0.25">
      <c r="A6" s="2" t="s">
        <v>760</v>
      </c>
      <c r="B6" s="2" t="s">
        <v>761</v>
      </c>
    </row>
    <row r="7" spans="1:2" ht="30" x14ac:dyDescent="0.25">
      <c r="A7" s="3" t="s">
        <v>762</v>
      </c>
      <c r="B7" s="3" t="s">
        <v>763</v>
      </c>
    </row>
    <row r="8" spans="1:2" x14ac:dyDescent="0.25">
      <c r="A8" s="2" t="s">
        <v>764</v>
      </c>
      <c r="B8" s="2" t="s">
        <v>765</v>
      </c>
    </row>
    <row r="9" spans="1:2" x14ac:dyDescent="0.25">
      <c r="A9" s="3" t="s">
        <v>766</v>
      </c>
      <c r="B9" s="3" t="s">
        <v>767</v>
      </c>
    </row>
    <row r="10" spans="1:2" x14ac:dyDescent="0.25">
      <c r="A10" s="2" t="s">
        <v>768</v>
      </c>
      <c r="B10" s="2" t="s">
        <v>769</v>
      </c>
    </row>
    <row r="11" spans="1:2" x14ac:dyDescent="0.25">
      <c r="A11" s="3" t="s">
        <v>770</v>
      </c>
      <c r="B11" s="3" t="s">
        <v>771</v>
      </c>
    </row>
    <row r="12" spans="1:2" x14ac:dyDescent="0.25">
      <c r="A12" s="2" t="s">
        <v>772</v>
      </c>
      <c r="B12" s="2" t="s">
        <v>771</v>
      </c>
    </row>
    <row r="13" spans="1:2" x14ac:dyDescent="0.25">
      <c r="A13" s="3" t="s">
        <v>773</v>
      </c>
      <c r="B13" s="3" t="s">
        <v>771</v>
      </c>
    </row>
  </sheetData>
  <autoFilter ref="A4:B13"/>
  <mergeCells count="1">
    <mergeCell ref="A1:B1"/>
  </mergeCell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00_Assignment_Checklist</vt:lpstr>
      <vt:lpstr>01_Test_Plan</vt:lpstr>
      <vt:lpstr>02_Requirements</vt:lpstr>
      <vt:lpstr>03_Test_Scenarios</vt:lpstr>
      <vt:lpstr>04_Test_Data</vt:lpstr>
      <vt:lpstr>05_Test_Cases</vt:lpstr>
      <vt:lpstr>06_Test_Execution</vt:lpstr>
      <vt:lpstr>07_Defect_Report</vt:lpstr>
      <vt:lpstr>08_Execution_Report</vt:lpstr>
      <vt:lpstr>09_RTM</vt:lpstr>
      <vt:lpstr>10_Jira_Evidence</vt:lpstr>
      <vt:lpstr>11_GitHub_Structure</vt:lpstr>
      <vt:lpstr>12_README_Template</vt:lpstr>
      <vt:lpstr>13_Git_Commits</vt:lpstr>
      <vt:lpstr>14_File_Naming</vt:lpstr>
      <vt:lpstr>15_Submission</vt:lpstr>
      <vt:lpstr>'00_Assignment_Checklist'!Print_Titles</vt:lpstr>
      <vt:lpstr>'01_Test_Plan'!Print_Titles</vt:lpstr>
      <vt:lpstr>'02_Requirements'!Print_Titles</vt:lpstr>
      <vt:lpstr>'03_Test_Scenarios'!Print_Titles</vt:lpstr>
      <vt:lpstr>'04_Test_Data'!Print_Titles</vt:lpstr>
      <vt:lpstr>'05_Test_Cases'!Print_Titles</vt:lpstr>
      <vt:lpstr>'06_Test_Execution'!Print_Titles</vt:lpstr>
      <vt:lpstr>'07_Defect_Report'!Print_Titles</vt:lpstr>
      <vt:lpstr>'08_Execution_Report'!Print_Titles</vt:lpstr>
      <vt:lpstr>'09_RTM'!Print_Titles</vt:lpstr>
      <vt:lpstr>'10_Jira_Evidence'!Print_Titles</vt:lpstr>
      <vt:lpstr>'11_GitHub_Structure'!Print_Titles</vt:lpstr>
      <vt:lpstr>'12_README_Template'!Print_Titles</vt:lpstr>
      <vt:lpstr>'13_Git_Commits'!Print_Titles</vt:lpstr>
      <vt:lpstr>'14_File_Naming'!Print_Titles</vt:lpstr>
      <vt:lpstr>'15_Submission'!Print_Titles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2026-09-04T14:45:05Z</dcterms:created>
  <dcterms:modified xsi:type="dcterms:W3CDTF">2026-09-04T15:37:59Z</dcterms:modified>
</cp:coreProperties>
</file>